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36" firstSheet="0" activeTab="6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GAS" sheetId="2" state="visible" r:id="rId2"/>
    <sheet xmlns:r="http://schemas.openxmlformats.org/officeDocument/2006/relationships" name="ELECTRICIDAD" sheetId="3" state="visible" r:id="rId3"/>
    <sheet xmlns:r="http://schemas.openxmlformats.org/officeDocument/2006/relationships" name="AGUA" sheetId="4" state="visible" r:id="rId4"/>
    <sheet xmlns:r="http://schemas.openxmlformats.org/officeDocument/2006/relationships" name="OTROS GASTOS" sheetId="5" state="visible" r:id="rId5"/>
    <sheet xmlns:r="http://schemas.openxmlformats.org/officeDocument/2006/relationships" name="LECTURAS ACS M3" sheetId="6" state="visible" r:id="rId6"/>
    <sheet xmlns:r="http://schemas.openxmlformats.org/officeDocument/2006/relationships" name="ANALISIS" sheetId="7" state="visible" r:id="rId7"/>
  </sheets>
  <definedNames>
    <definedName name="_xlnm.Print_Area" localSheetId="6">'ANALISIS'!$A$1:$L$88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#,##0.00\ &quot;€&quot;"/>
    <numFmt numFmtId="165" formatCode="#,##0.000000\ &quot;€&quot;"/>
    <numFmt numFmtId="166" formatCode="#,##0.000\ &quot;€&quot;"/>
    <numFmt numFmtId="167" formatCode="0.0%"/>
    <numFmt numFmtId="168" formatCode="d/mm/yyyy;@"/>
    <numFmt numFmtId="169" formatCode="#,##0\ &quot;€&quot;"/>
    <numFmt numFmtId="170" formatCode="0.000"/>
    <numFmt numFmtId="171" formatCode="#,##0.0000"/>
    <numFmt numFmtId="172" formatCode="0.00000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theme="1"/>
      <sz val="11"/>
      <vertAlign val="superscript"/>
    </font>
    <font>
      <name val="Arial"/>
      <family val="2"/>
      <b val="1"/>
      <color theme="0" tint="-0.3499862666707358"/>
      <sz val="11"/>
    </font>
    <font>
      <name val="Arial"/>
      <family val="2"/>
      <color theme="0" tint="-0.3499862666707358"/>
      <sz val="11"/>
    </font>
    <font>
      <name val="Arial"/>
      <family val="2"/>
      <color theme="1"/>
      <sz val="11"/>
      <vertAlign val="superscript"/>
    </font>
    <font>
      <name val="Arial"/>
      <family val="2"/>
      <color theme="1"/>
      <sz val="8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color theme="1"/>
      <sz val="11"/>
      <u val="single"/>
    </font>
    <font>
      <name val="Arial"/>
      <family val="2"/>
      <b val="1"/>
      <color rgb="FF0070C0"/>
      <sz val="11"/>
    </font>
    <font>
      <name val="Calibri"/>
      <family val="2"/>
      <color rgb="FF000000"/>
      <sz val="11"/>
      <scheme val="minor"/>
    </font>
    <font>
      <name val="Arial"/>
      <family val="2"/>
      <color theme="1"/>
      <sz val="9"/>
    </font>
    <font>
      <name val="Arial"/>
      <family val="2"/>
      <color rgb="FFFF0000"/>
      <sz val="11"/>
    </font>
    <font>
      <name val="Calibri"/>
      <family val="2"/>
      <color rgb="FFFF0000"/>
      <sz val="11"/>
      <scheme val="minor"/>
    </font>
    <font>
      <name val="Calibri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auto="1"/>
      </top>
      <bottom/>
      <diagonal/>
    </border>
    <border>
      <left style="thin">
        <color rgb="FFFF0000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rgb="FFFF0000"/>
      </bottom>
      <diagonal/>
    </border>
    <border>
      <left/>
      <right style="thin">
        <color auto="1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FF0000"/>
      </left>
      <right style="thin">
        <color rgb="FFFF0000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23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3" fontId="1" fillId="0" borderId="0" pivotButton="0" quotePrefix="0" xfId="0"/>
    <xf numFmtId="4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1" fillId="0" borderId="0" applyAlignment="1" pivotButton="0" quotePrefix="0" xfId="0">
      <alignment wrapText="1"/>
    </xf>
    <xf numFmtId="14" fontId="1" fillId="0" borderId="0" applyAlignment="1" pivotButton="0" quotePrefix="0" xfId="0">
      <alignment horizontal="center" wrapText="1"/>
    </xf>
    <xf numFmtId="3" fontId="1" fillId="0" borderId="0" applyAlignment="1" pivotButton="0" quotePrefix="0" xfId="0">
      <alignment wrapText="1"/>
    </xf>
    <xf numFmtId="4" fontId="1" fillId="0" borderId="0" applyAlignment="1" pivotButton="0" quotePrefix="0" xfId="0">
      <alignment wrapText="1"/>
    </xf>
    <xf numFmtId="164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3" fontId="1" fillId="0" borderId="0" applyAlignment="1" pivotButton="0" quotePrefix="0" xfId="0">
      <alignment horizontal="right"/>
    </xf>
    <xf numFmtId="14" fontId="1" fillId="0" borderId="1" applyAlignment="1" pivotButton="0" quotePrefix="0" xfId="0">
      <alignment horizontal="center"/>
    </xf>
    <xf numFmtId="3" fontId="1" fillId="0" borderId="1" pivotButton="0" quotePrefix="0" xfId="0"/>
    <xf numFmtId="3" fontId="1" fillId="0" borderId="1" applyAlignment="1" pivotButton="0" quotePrefix="0" xfId="0">
      <alignment wrapText="1"/>
    </xf>
    <xf numFmtId="4" fontId="1" fillId="0" borderId="1" pivotButton="0" quotePrefix="0" xfId="0"/>
    <xf numFmtId="164" fontId="1" fillId="0" borderId="1" pivotButton="0" quotePrefix="0" xfId="0"/>
    <xf numFmtId="0" fontId="1" fillId="0" borderId="1" pivotButton="0" quotePrefix="0" xfId="0"/>
    <xf numFmtId="0" fontId="1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center" vertical="top" wrapText="1"/>
    </xf>
    <xf numFmtId="17" fontId="1" fillId="0" borderId="1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7" fontId="1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164" fontId="1" fillId="0" borderId="1" applyAlignment="1" pivotButton="0" quotePrefix="0" xfId="0">
      <alignment horizontal="right"/>
    </xf>
    <xf numFmtId="4" fontId="7" fillId="0" borderId="0" applyAlignment="1" pivotButton="0" quotePrefix="0" xfId="0">
      <alignment wrapText="1"/>
    </xf>
    <xf numFmtId="0" fontId="7" fillId="0" borderId="0" pivotButton="0" quotePrefix="0" xfId="0"/>
    <xf numFmtId="4" fontId="7" fillId="0" borderId="0" pivotButton="0" quotePrefix="0" xfId="0"/>
    <xf numFmtId="4" fontId="7" fillId="0" borderId="1" applyAlignment="1" pivotButton="0" quotePrefix="0" xfId="0">
      <alignment wrapText="1"/>
    </xf>
    <xf numFmtId="4" fontId="7" fillId="0" borderId="1" pivotButton="0" quotePrefix="0" xfId="0"/>
    <xf numFmtId="0" fontId="7" fillId="0" borderId="1" pivotButton="0" quotePrefix="0" xfId="0"/>
    <xf numFmtId="10" fontId="7" fillId="0" borderId="0" pivotButton="0" quotePrefix="0" xfId="0"/>
    <xf numFmtId="165" fontId="7" fillId="0" borderId="0" applyAlignment="1" pivotButton="0" quotePrefix="0" xfId="0">
      <alignment wrapText="1"/>
    </xf>
    <xf numFmtId="165" fontId="7" fillId="0" borderId="0" pivotButton="0" quotePrefix="0" xfId="0"/>
    <xf numFmtId="165" fontId="7" fillId="0" borderId="1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14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4" fontId="3" fillId="0" borderId="1" applyAlignment="1" pivotButton="0" quotePrefix="0" xfId="0">
      <alignment horizontal="center"/>
    </xf>
    <xf numFmtId="0" fontId="2" fillId="0" borderId="0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6" applyAlignment="1" pivotButton="0" quotePrefix="0" xfId="0">
      <alignment horizontal="center"/>
    </xf>
    <xf numFmtId="0" fontId="1" fillId="0" borderId="5" pivotButton="0" quotePrefix="1" xfId="0"/>
    <xf numFmtId="9" fontId="1" fillId="0" borderId="0" applyAlignment="1" pivotButton="0" quotePrefix="0" xfId="0">
      <alignment horizontal="center"/>
    </xf>
    <xf numFmtId="9" fontId="1" fillId="0" borderId="6" applyAlignment="1" pivotButton="0" quotePrefix="0" xfId="0">
      <alignment horizontal="center"/>
    </xf>
    <xf numFmtId="0" fontId="1" fillId="0" borderId="7" pivotButton="0" quotePrefix="1" xfId="0"/>
    <xf numFmtId="9" fontId="1" fillId="0" borderId="1" applyAlignment="1" pivotButton="0" quotePrefix="0" xfId="0">
      <alignment horizontal="center"/>
    </xf>
    <xf numFmtId="9" fontId="1" fillId="0" borderId="8" applyAlignment="1" pivotButton="0" quotePrefix="0" xfId="0">
      <alignment horizontal="center"/>
    </xf>
    <xf numFmtId="10" fontId="1" fillId="0" borderId="0" pivotButton="0" quotePrefix="0" xfId="0"/>
    <xf numFmtId="10" fontId="1" fillId="0" borderId="1" pivotButton="0" quotePrefix="0" xfId="0"/>
    <xf numFmtId="0" fontId="9" fillId="0" borderId="0" pivotButton="0" quotePrefix="0" xfId="0"/>
    <xf numFmtId="0" fontId="1" fillId="0" borderId="0" pivotButton="0" quotePrefix="1" xfId="0"/>
    <xf numFmtId="167" fontId="1" fillId="0" borderId="5" applyAlignment="1" pivotButton="0" quotePrefix="0" xfId="0">
      <alignment horizontal="center"/>
    </xf>
    <xf numFmtId="167" fontId="1" fillId="0" borderId="0" applyAlignment="1" pivotButton="0" quotePrefix="0" xfId="0">
      <alignment horizontal="center"/>
    </xf>
    <xf numFmtId="9" fontId="1" fillId="0" borderId="5" applyAlignment="1" pivotButton="0" quotePrefix="0" xfId="0">
      <alignment horizontal="center"/>
    </xf>
    <xf numFmtId="165" fontId="7" fillId="2" borderId="0" applyAlignment="1" pivotButton="0" quotePrefix="0" xfId="0">
      <alignment wrapText="1"/>
    </xf>
    <xf numFmtId="165" fontId="7" fillId="2" borderId="0" pivotButton="0" quotePrefix="0" xfId="0"/>
    <xf numFmtId="165" fontId="7" fillId="2" borderId="3" pivotButton="0" quotePrefix="0" xfId="0"/>
    <xf numFmtId="165" fontId="7" fillId="0" borderId="1" pivotButton="0" quotePrefix="0" xfId="0"/>
    <xf numFmtId="0" fontId="1" fillId="0" borderId="1" applyAlignment="1" pivotButton="0" quotePrefix="0" xfId="0">
      <alignment horizontal="center"/>
    </xf>
    <xf numFmtId="10" fontId="4" fillId="3" borderId="0" pivotButton="0" quotePrefix="0" xfId="0"/>
    <xf numFmtId="0" fontId="8" fillId="0" borderId="0" pivotButton="0" quotePrefix="1" xfId="0"/>
    <xf numFmtId="168" fontId="0" fillId="0" borderId="0" pivotButton="0" quotePrefix="0" xfId="0"/>
    <xf numFmtId="0" fontId="2" fillId="0" borderId="0" applyAlignment="1" pivotButton="0" quotePrefix="0" xfId="0">
      <alignment horizontal="center" wrapText="1"/>
    </xf>
    <xf numFmtId="3" fontId="1" fillId="2" borderId="0" applyAlignment="1" pivotButton="0" quotePrefix="0" xfId="0">
      <alignment horizontal="right"/>
    </xf>
    <xf numFmtId="0" fontId="1" fillId="2" borderId="0" pivotButton="0" quotePrefix="1" xfId="0"/>
    <xf numFmtId="164" fontId="3" fillId="2" borderId="0" applyAlignment="1" pivotButton="0" quotePrefix="0" xfId="0">
      <alignment horizontal="right"/>
    </xf>
    <xf numFmtId="164" fontId="10" fillId="0" borderId="0" applyAlignment="1" pivotButton="0" quotePrefix="0" xfId="0">
      <alignment horizontal="right"/>
    </xf>
    <xf numFmtId="0" fontId="1" fillId="0" borderId="11" pivotButton="0" quotePrefix="0" xfId="0"/>
    <xf numFmtId="9" fontId="1" fillId="0" borderId="11" pivotButton="0" quotePrefix="0" xfId="0"/>
    <xf numFmtId="164" fontId="1" fillId="4" borderId="0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4" fontId="1" fillId="4" borderId="11" pivotButton="0" quotePrefix="0" xfId="0"/>
    <xf numFmtId="164" fontId="2" fillId="4" borderId="11" pivotButton="0" quotePrefix="0" xfId="0"/>
    <xf numFmtId="0" fontId="1" fillId="0" borderId="7" pivotButton="0" quotePrefix="0" xfId="0"/>
    <xf numFmtId="0" fontId="2" fillId="5" borderId="9" pivotButton="0" quotePrefix="0" xfId="0"/>
    <xf numFmtId="0" fontId="1" fillId="5" borderId="11" pivotButton="0" quotePrefix="0" xfId="0"/>
    <xf numFmtId="0" fontId="2" fillId="5" borderId="10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11" applyAlignment="1" pivotButton="0" quotePrefix="0" xfId="0">
      <alignment horizontal="center"/>
    </xf>
    <xf numFmtId="167" fontId="1" fillId="0" borderId="3" applyAlignment="1" pivotButton="0" quotePrefix="0" xfId="0">
      <alignment horizontal="center"/>
    </xf>
    <xf numFmtId="167" fontId="1" fillId="0" borderId="2" applyAlignment="1" pivotButton="0" quotePrefix="0" xfId="0">
      <alignment horizontal="center"/>
    </xf>
    <xf numFmtId="9" fontId="1" fillId="0" borderId="4" applyAlignment="1" pivotButton="0" quotePrefix="0" xfId="0">
      <alignment horizontal="center"/>
    </xf>
    <xf numFmtId="9" fontId="1" fillId="0" borderId="7" applyAlignment="1" pivotButton="0" quotePrefix="0" xfId="0">
      <alignment horizontal="center"/>
    </xf>
    <xf numFmtId="0" fontId="2" fillId="6" borderId="9" pivotButton="0" quotePrefix="0" xfId="0"/>
    <xf numFmtId="0" fontId="2" fillId="6" borderId="11" applyAlignment="1" pivotButton="0" quotePrefix="0" xfId="0">
      <alignment horizontal="center"/>
    </xf>
    <xf numFmtId="0" fontId="2" fillId="6" borderId="10" pivotButton="0" quotePrefix="0" xfId="0"/>
    <xf numFmtId="0" fontId="11" fillId="0" borderId="1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0" pivotButton="0" quotePrefix="0" xfId="0"/>
    <xf numFmtId="0" fontId="1" fillId="0" borderId="14" pivotButton="0" quotePrefix="0" xfId="0"/>
    <xf numFmtId="164" fontId="1" fillId="0" borderId="14" pivotButton="0" quotePrefix="0" xfId="0"/>
    <xf numFmtId="0" fontId="1" fillId="5" borderId="0" pivotButton="0" quotePrefix="0" xfId="0"/>
    <xf numFmtId="164" fontId="1" fillId="0" borderId="15" pivotButton="0" quotePrefix="0" xfId="0"/>
    <xf numFmtId="167" fontId="1" fillId="0" borderId="13" applyAlignment="1" pivotButton="0" quotePrefix="0" xfId="0">
      <alignment horizontal="center"/>
    </xf>
    <xf numFmtId="9" fontId="1" fillId="0" borderId="13" applyAlignment="1" pivotButton="0" quotePrefix="0" xfId="0">
      <alignment horizontal="center"/>
    </xf>
    <xf numFmtId="164" fontId="1" fillId="0" borderId="16" pivotButton="0" quotePrefix="0" xfId="0"/>
    <xf numFmtId="9" fontId="1" fillId="0" borderId="12" applyAlignment="1" pivotButton="0" quotePrefix="0" xfId="0">
      <alignment horizontal="center"/>
    </xf>
    <xf numFmtId="164" fontId="2" fillId="0" borderId="13" pivotButton="0" quotePrefix="0" xfId="0"/>
    <xf numFmtId="164" fontId="2" fillId="0" borderId="12" pivotButton="0" quotePrefix="0" xfId="0"/>
    <xf numFmtId="164" fontId="2" fillId="0" borderId="17" pivotButton="0" quotePrefix="0" xfId="0"/>
    <xf numFmtId="164" fontId="2" fillId="0" borderId="18" pivotButton="0" quotePrefix="0" xfId="0"/>
    <xf numFmtId="0" fontId="1" fillId="0" borderId="18" pivotButton="0" quotePrefix="0" xfId="0"/>
    <xf numFmtId="0" fontId="2" fillId="5" borderId="2" pivotButton="0" quotePrefix="0" xfId="0"/>
    <xf numFmtId="0" fontId="1" fillId="5" borderId="3" pivotButton="0" quotePrefix="0" xfId="0"/>
    <xf numFmtId="167" fontId="1" fillId="0" borderId="6" applyAlignment="1" pivotButton="0" quotePrefix="0" xfId="0">
      <alignment horizontal="center"/>
    </xf>
    <xf numFmtId="9" fontId="1" fillId="0" borderId="21" applyAlignment="1" pivotButton="0" quotePrefix="0" xfId="0">
      <alignment horizontal="center"/>
    </xf>
    <xf numFmtId="0" fontId="1" fillId="0" borderId="22" pivotButton="0" quotePrefix="0" xfId="0"/>
    <xf numFmtId="0" fontId="1" fillId="0" borderId="8" pivotButton="0" quotePrefix="0" xfId="0"/>
    <xf numFmtId="164" fontId="13" fillId="0" borderId="0" pivotButton="0" quotePrefix="0" xfId="0"/>
    <xf numFmtId="164" fontId="2" fillId="0" borderId="1" pivotButton="0" quotePrefix="0" xfId="0"/>
    <xf numFmtId="0" fontId="2" fillId="0" borderId="1" pivotButton="0" quotePrefix="0" xfId="0"/>
    <xf numFmtId="0" fontId="2" fillId="5" borderId="19" applyAlignment="1" pivotButton="0" quotePrefix="0" xfId="0">
      <alignment horizontal="center"/>
    </xf>
    <xf numFmtId="0" fontId="2" fillId="0" borderId="17" applyAlignment="1" pivotButton="0" quotePrefix="0" xfId="0">
      <alignment horizontal="right"/>
    </xf>
    <xf numFmtId="0" fontId="2" fillId="5" borderId="24" applyAlignment="1" pivotButton="0" quotePrefix="0" xfId="0">
      <alignment horizontal="center"/>
    </xf>
    <xf numFmtId="0" fontId="1" fillId="5" borderId="0" applyAlignment="1" pivotButton="0" quotePrefix="0" xfId="0">
      <alignment horizontal="right"/>
    </xf>
    <xf numFmtId="4" fontId="2" fillId="5" borderId="23" applyAlignment="1" pivotButton="0" quotePrefix="0" xfId="0">
      <alignment horizontal="center"/>
    </xf>
    <xf numFmtId="10" fontId="1" fillId="5" borderId="0" applyAlignment="1" pivotButton="0" quotePrefix="0" xfId="0">
      <alignment horizontal="center"/>
    </xf>
    <xf numFmtId="0" fontId="1" fillId="6" borderId="0" pivotButton="0" quotePrefix="0" xfId="0"/>
    <xf numFmtId="0" fontId="1" fillId="6" borderId="25" pivotButton="0" quotePrefix="0" xfId="0"/>
    <xf numFmtId="0" fontId="1" fillId="6" borderId="26" pivotButton="0" quotePrefix="0" xfId="0"/>
    <xf numFmtId="0" fontId="2" fillId="6" borderId="0" applyAlignment="1" pivotButton="0" quotePrefix="0" xfId="0">
      <alignment horizontal="right"/>
    </xf>
    <xf numFmtId="0" fontId="12" fillId="6" borderId="0" applyAlignment="1" pivotButton="0" quotePrefix="0" xfId="0">
      <alignment horizontal="center"/>
    </xf>
    <xf numFmtId="0" fontId="2" fillId="5" borderId="8" applyAlignment="1" pivotButton="0" quotePrefix="0" xfId="0">
      <alignment horizontal="center"/>
    </xf>
    <xf numFmtId="10" fontId="4" fillId="0" borderId="0" pivotButton="0" quotePrefix="0" xfId="0"/>
    <xf numFmtId="3" fontId="1" fillId="0" borderId="0" applyAlignment="1" pivotButton="0" quotePrefix="0" xfId="0">
      <alignment horizontal="center"/>
    </xf>
    <xf numFmtId="4" fontId="1" fillId="5" borderId="0" applyAlignment="1" pivotButton="0" quotePrefix="0" xfId="0">
      <alignment horizontal="right"/>
    </xf>
    <xf numFmtId="0" fontId="15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4" fontId="2" fillId="6" borderId="9" pivotButton="0" quotePrefix="0" xfId="0"/>
    <xf numFmtId="0" fontId="2" fillId="6" borderId="10" pivotButton="0" quotePrefix="1" xfId="0"/>
    <xf numFmtId="4" fontId="3" fillId="5" borderId="6" applyAlignment="1" pivotButton="0" quotePrefix="0" xfId="0">
      <alignment horizontal="center"/>
    </xf>
    <xf numFmtId="0" fontId="1" fillId="3" borderId="0" pivotButton="0" quotePrefix="0" xfId="0"/>
    <xf numFmtId="14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3" fontId="1" fillId="3" borderId="0" pivotButton="0" quotePrefix="0" xfId="0"/>
    <xf numFmtId="3" fontId="1" fillId="3" borderId="0" applyAlignment="1" pivotButton="0" quotePrefix="0" xfId="0">
      <alignment wrapText="1"/>
    </xf>
    <xf numFmtId="4" fontId="1" fillId="3" borderId="0" pivotButton="0" quotePrefix="0" xfId="0"/>
    <xf numFmtId="164" fontId="1" fillId="3" borderId="0" pivotButton="0" quotePrefix="0" xfId="0"/>
    <xf numFmtId="165" fontId="7" fillId="3" borderId="0" applyAlignment="1" pivotButton="0" quotePrefix="0" xfId="0">
      <alignment wrapText="1"/>
    </xf>
    <xf numFmtId="165" fontId="7" fillId="3" borderId="0" pivotButton="0" quotePrefix="0" xfId="0"/>
    <xf numFmtId="0" fontId="7" fillId="3" borderId="0" pivotButton="0" quotePrefix="0" xfId="0"/>
    <xf numFmtId="4" fontId="7" fillId="3" borderId="0" applyAlignment="1" pivotButton="0" quotePrefix="0" xfId="0">
      <alignment wrapText="1"/>
    </xf>
    <xf numFmtId="4" fontId="7" fillId="3" borderId="0" pivotButton="0" quotePrefix="0" xfId="0"/>
    <xf numFmtId="14" fontId="3" fillId="0" borderId="27" applyAlignment="1" pivotButton="0" quotePrefix="0" xfId="0">
      <alignment horizontal="center"/>
    </xf>
    <xf numFmtId="14" fontId="3" fillId="0" borderId="5" applyAlignment="1" pivotButton="0" quotePrefix="0" xfId="0">
      <alignment horizontal="center"/>
    </xf>
    <xf numFmtId="3" fontId="3" fillId="0" borderId="0" applyAlignment="1" pivotButton="0" quotePrefix="0" xfId="0">
      <alignment horizontal="center"/>
    </xf>
    <xf numFmtId="0" fontId="3" fillId="0" borderId="27" applyAlignment="1" pivotButton="0" quotePrefix="0" xfId="0">
      <alignment horizontal="center"/>
    </xf>
    <xf numFmtId="4" fontId="3" fillId="0" borderId="5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164" fontId="16" fillId="0" borderId="0" applyAlignment="1" pivotButton="0" quotePrefix="0" xfId="0">
      <alignment horizontal="right"/>
    </xf>
    <xf numFmtId="3" fontId="16" fillId="0" borderId="0" pivotButton="0" quotePrefix="0" xfId="0"/>
    <xf numFmtId="14" fontId="3" fillId="0" borderId="28" applyAlignment="1" pivotButton="0" quotePrefix="0" xfId="0">
      <alignment horizontal="center"/>
    </xf>
    <xf numFmtId="14" fontId="3" fillId="0" borderId="7" applyAlignment="1" pivotButton="0" quotePrefix="0" xfId="0">
      <alignment horizontal="center"/>
    </xf>
    <xf numFmtId="3" fontId="3" fillId="0" borderId="23" applyAlignment="1" pivotButton="0" quotePrefix="0" xfId="0">
      <alignment horizontal="center"/>
    </xf>
    <xf numFmtId="3" fontId="3" fillId="0" borderId="24" applyAlignment="1" pivotButton="0" quotePrefix="0" xfId="0">
      <alignment horizontal="center"/>
    </xf>
    <xf numFmtId="4" fontId="3" fillId="0" borderId="23" applyAlignment="1" pivotButton="0" quotePrefix="0" xfId="0">
      <alignment horizontal="center"/>
    </xf>
    <xf numFmtId="4" fontId="3" fillId="0" borderId="24" applyAlignment="1" pivotButton="0" quotePrefix="0" xfId="0">
      <alignment horizontal="center"/>
    </xf>
    <xf numFmtId="164" fontId="3" fillId="0" borderId="23" applyAlignment="1" pivotButton="0" quotePrefix="0" xfId="0">
      <alignment horizontal="center"/>
    </xf>
    <xf numFmtId="169" fontId="3" fillId="0" borderId="23" applyAlignment="1" pivotButton="0" quotePrefix="0" xfId="0">
      <alignment horizontal="center"/>
    </xf>
    <xf numFmtId="169" fontId="3" fillId="0" borderId="24" applyAlignment="1" pivotButton="0" quotePrefix="0" xfId="0">
      <alignment horizontal="center"/>
    </xf>
    <xf numFmtId="164" fontId="3" fillId="0" borderId="29" applyAlignment="1" pivotButton="0" quotePrefix="0" xfId="0">
      <alignment horizontal="center"/>
    </xf>
    <xf numFmtId="0" fontId="17" fillId="0" borderId="0" pivotButton="0" quotePrefix="0" xfId="0"/>
    <xf numFmtId="0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170" fontId="1" fillId="0" borderId="0" pivotButton="0" quotePrefix="0" xfId="0"/>
    <xf numFmtId="171" fontId="2" fillId="5" borderId="23" applyAlignment="1" pivotButton="0" quotePrefix="0" xfId="0">
      <alignment horizontal="center"/>
    </xf>
    <xf numFmtId="172" fontId="1" fillId="0" borderId="0" pivotButton="0" quotePrefix="0" xfId="0"/>
    <xf numFmtId="4" fontId="2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3" fontId="2" fillId="0" borderId="0" applyAlignment="1" pivotButton="0" quotePrefix="0" xfId="0">
      <alignment horizontal="center" vertical="top" wrapText="1"/>
    </xf>
    <xf numFmtId="3" fontId="16" fillId="0" borderId="0" applyAlignment="1" pivotButton="0" quotePrefix="0" xfId="0">
      <alignment wrapText="1"/>
    </xf>
    <xf numFmtId="0" fontId="16" fillId="0" borderId="0" applyAlignment="1" pivotButton="0" quotePrefix="0" xfId="0">
      <alignment horizontal="right"/>
    </xf>
    <xf numFmtId="14" fontId="16" fillId="0" borderId="0" applyAlignment="1" pivotButton="0" quotePrefix="0" xfId="0">
      <alignment horizontal="center"/>
    </xf>
    <xf numFmtId="17" fontId="0" fillId="0" borderId="0" pivotButton="0" quotePrefix="0" xfId="0"/>
    <xf numFmtId="17" fontId="3" fillId="0" borderId="0" applyAlignment="1" pivotButton="0" quotePrefix="0" xfId="0">
      <alignment horizontal="center"/>
    </xf>
    <xf numFmtId="3" fontId="3" fillId="0" borderId="0" pivotButton="0" quotePrefix="0" xfId="0"/>
    <xf numFmtId="3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right"/>
    </xf>
    <xf numFmtId="14" fontId="1" fillId="3" borderId="0" applyAlignment="1" pivotButton="0" quotePrefix="0" xfId="0">
      <alignment horizontal="left"/>
    </xf>
    <xf numFmtId="14" fontId="1" fillId="0" borderId="0" applyAlignment="1" pivotButton="0" quotePrefix="0" xfId="0">
      <alignment horizontal="left"/>
    </xf>
    <xf numFmtId="14" fontId="1" fillId="0" borderId="1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4" fontId="1" fillId="3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" fillId="5" borderId="2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0" fontId="2" fillId="5" borderId="7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2" fillId="2" borderId="10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0" fontId="2" fillId="5" borderId="20" applyAlignment="1" pivotButton="0" quotePrefix="0" xfId="0">
      <alignment horizontal="center"/>
    </xf>
    <xf numFmtId="0" fontId="2" fillId="5" borderId="19" applyAlignment="1" pivotButton="0" quotePrefix="0" xfId="0">
      <alignment horizontal="center"/>
    </xf>
    <xf numFmtId="0" fontId="2" fillId="0" borderId="0" applyAlignment="1" pivotButton="0" quotePrefix="0" xfId="0">
      <alignment horizontal="center" vertical="top" wrapText="1"/>
    </xf>
    <xf numFmtId="165" fontId="4" fillId="3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top" wrapText="1"/>
    </xf>
    <xf numFmtId="165" fontId="6" fillId="0" borderId="0" applyAlignment="1" pivotButton="0" quotePrefix="0" xfId="0">
      <alignment horizontal="center" vertical="top" wrapText="1"/>
    </xf>
    <xf numFmtId="4" fontId="2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3" fontId="2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 vertical="top" wrapText="1"/>
    </xf>
    <xf numFmtId="0" fontId="2" fillId="2" borderId="33" applyAlignment="1" pivotButton="0" quotePrefix="0" xfId="0">
      <alignment horizontal="center"/>
    </xf>
    <xf numFmtId="0" fontId="0" fillId="0" borderId="10" pivotButton="0" quotePrefix="0" xfId="0"/>
    <xf numFmtId="0" fontId="0" fillId="0" borderId="3" pivotButton="0" quotePrefix="0" xfId="0"/>
    <xf numFmtId="0" fontId="2" fillId="5" borderId="32" applyAlignment="1" pivotButton="0" quotePrefix="0" xfId="0">
      <alignment horizontal="center"/>
    </xf>
    <xf numFmtId="0" fontId="0" fillId="0" borderId="4" pivotButton="0" quotePrefix="0" xfId="0"/>
    <xf numFmtId="0" fontId="0" fillId="0" borderId="1" pivotButton="0" quotePrefix="0" xfId="0"/>
    <xf numFmtId="0" fontId="0" fillId="0" borderId="8" pivotButton="0" quotePrefix="0" xfId="0"/>
    <xf numFmtId="0" fontId="2" fillId="5" borderId="30" applyAlignment="1" pivotButton="0" quotePrefix="0" xfId="0">
      <alignment horizontal="center"/>
    </xf>
    <xf numFmtId="0" fontId="0" fillId="0" borderId="19" pivotButton="0" quotePrefix="0" xfId="0"/>
  </cellXfs>
  <cellStyles count="2">
    <cellStyle name="Normal" xfId="0" builtinId="0"/>
    <cellStyle name="Normal 2" xfId="1"/>
  </cellStyles>
  <dxfs count="32"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9" formatCode="dd/mm/yyyy"/>
      <fill>
        <patternFill patternType="solid">
          <fgColor indexed="64"/>
          <bgColor theme="9" tint="0.7999816888943144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9" formatCode="dd/mm/yyyy"/>
      <fill>
        <patternFill patternType="solid">
          <fgColor indexed="64"/>
          <bgColor theme="9" tint="0.7999816888943144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4" formatCode="#,##0.00\ &quot;€&quot;"/>
      <fill>
        <patternFill patternType="solid">
          <fgColor indexed="64"/>
          <bgColor theme="9" tint="0.7999816888943144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4" formatCode="#,##0.00\ &quot;€&quot;"/>
      <fill>
        <patternFill patternType="solid">
          <fgColor indexed="64"/>
          <bgColor theme="9" tint="0.7999816888943144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4" formatCode="#,##0.00\ &quot;€&quot;"/>
      <fill>
        <patternFill patternType="solid">
          <fgColor indexed="64"/>
          <bgColor theme="9" tint="0.7999816888943144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4" formatCode="#,##0.00"/>
      <fill>
        <patternFill patternType="solid">
          <fgColor indexed="64"/>
          <bgColor theme="9" tint="0.7999816888943144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  <fill>
        <patternFill patternType="solid">
          <fgColor indexed="64"/>
          <bgColor theme="9" tint="0.7999816888943144"/>
        </patternFill>
      </fill>
      <alignment horizontal="general" vertical="bottom" wrapText="1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9" formatCode="dd/mm/yyyy"/>
      <fill>
        <patternFill patternType="solid">
          <fgColor indexed="64"/>
          <bgColor theme="9" tint="0.7999816888943144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  <fill>
        <patternFill patternType="solid">
          <fgColor indexed="64"/>
          <bgColor theme="9" tint="0.7999816888943144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9" formatCode="dd/mm/yyyy"/>
      <fill>
        <patternFill patternType="solid">
          <fgColor indexed="64"/>
          <bgColor theme="9" tint="0.7999816888943144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9" formatCode="dd/mm/yyyy"/>
      <fill>
        <patternFill patternType="solid">
          <fgColor indexed="64"/>
          <bgColor theme="9" tint="0.7999816888943144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9" tint="0.7999816888943144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9" formatCode="dd/mm/yyyy"/>
      <fill>
        <patternFill patternType="solid">
          <fgColor indexed="64"/>
          <bgColor theme="9" tint="0.7999816888943144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9" tint="0.7999816888943144"/>
        </patternFill>
      </fill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top" wrapText="1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9" formatCode="dd/mm/yyyy"/>
      <fill>
        <patternFill patternType="solid">
          <fgColor indexed="64"/>
          <bgColor theme="9" tint="0.7999816888943144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9" formatCode="dd/mm/yyyy"/>
      <fill>
        <patternFill patternType="solid">
          <fgColor indexed="64"/>
          <bgColor theme="9" tint="0.7999816888943144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4" formatCode="#,##0.00\ &quot;€&quot;"/>
      <fill>
        <patternFill patternType="solid">
          <fgColor indexed="64"/>
          <bgColor theme="9" tint="0.7999816888943144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4" formatCode="#,##0.00\ &quot;€&quot;"/>
      <fill>
        <patternFill patternType="solid">
          <fgColor indexed="64"/>
          <bgColor theme="9" tint="0.7999816888943144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4" formatCode="#,##0.00\ &quot;€&quot;"/>
      <fill>
        <patternFill patternType="solid">
          <fgColor indexed="64"/>
          <bgColor theme="9" tint="0.7999816888943144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4" formatCode="#,##0.00"/>
      <fill>
        <patternFill patternType="solid">
          <fgColor indexed="64"/>
          <bgColor theme="9" tint="0.7999816888943144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  <fill>
        <patternFill patternType="solid">
          <fgColor indexed="64"/>
          <bgColor theme="9" tint="0.7999816888943144"/>
        </patternFill>
      </fill>
      <alignment horizontal="general" vertical="bottom" wrapText="1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9" formatCode="dd/mm/yyyy"/>
      <fill>
        <patternFill patternType="solid">
          <fgColor indexed="64"/>
          <bgColor theme="9" tint="0.7999816888943144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  <fill>
        <patternFill patternType="solid">
          <fgColor indexed="64"/>
          <bgColor theme="9" tint="0.7999816888943144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9" formatCode="dd/mm/yyyy"/>
      <fill>
        <patternFill patternType="solid">
          <fgColor indexed="64"/>
          <bgColor theme="9" tint="0.7999816888943144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9" formatCode="dd/mm/yyyy"/>
      <fill>
        <patternFill patternType="solid">
          <fgColor indexed="64"/>
          <bgColor theme="9" tint="0.7999816888943144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9" tint="0.7999816888943144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9" formatCode="dd/mm/yyyy"/>
      <fill>
        <patternFill patternType="solid">
          <fgColor indexed="64"/>
          <bgColor theme="9" tint="0.7999816888943144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9" tint="0.7999816888943144"/>
        </patternFill>
      </fill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top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a1" displayName="Tabla1" ref="B41:O62" headerRowCount="1" totalsRowShown="0" headerRowDxfId="31" dataDxfId="30">
  <autoFilter ref="B41:O62"/>
  <tableColumns count="14">
    <tableColumn id="1" name="Fecha fra." dataDxfId="29"/>
    <tableColumn id="2" name="Días" dataDxfId="28"/>
    <tableColumn id="3" name="Fecha final" dataDxfId="27"/>
    <tableColumn id="4" name="Columna1" dataDxfId="26"/>
    <tableColumn id="5" name="Lectura  final" dataDxfId="25"/>
    <tableColumn id="6" name="Fecha inicial" dataDxfId="24"/>
    <tableColumn id="7" name="Lectura inicial" dataDxfId="23"/>
    <tableColumn id="8" name="Consumo (m3)" dataDxfId="22"/>
    <tableColumn id="9" name="Consumo (kWh)" dataDxfId="21"/>
    <tableColumn id="10" name="Término fijo (€ IVA incl.)" dataDxfId="20"/>
    <tableColumn id="11" name="Término variable (€ IVA incl.)" dataDxfId="19"/>
    <tableColumn id="12" name="Importe TOTAL (€ IVA incluido)" dataDxfId="18">
      <calculatedColumnFormula>K42+L42</calculatedColumnFormula>
    </tableColumn>
    <tableColumn id="13" name="Fecha pago" dataDxfId="17"/>
    <tableColumn id="14" name="empresa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zoomScale="85" zoomScaleNormal="85" workbookViewId="0">
      <selection activeCell="A3" sqref="A3"/>
    </sheetView>
  </sheetViews>
  <sheetFormatPr baseColWidth="10" defaultColWidth="11.42578125" defaultRowHeight="15"/>
  <sheetData>
    <row r="1" ht="14.25" customFormat="1" customHeight="1" s="1">
      <c r="A1" s="1" t="inlineStr">
        <is>
          <t>COMUNIDAD</t>
        </is>
      </c>
    </row>
    <row r="2" ht="14.25" customFormat="1" customHeight="1" s="1">
      <c r="A2" s="1" t="inlineStr">
        <is>
          <t>ESTUDIO AGUA CALIENTE SANITARIA</t>
        </is>
      </c>
    </row>
    <row r="3" ht="14.25" customFormat="1" customHeight="1" s="1">
      <c r="A3" s="1" t="inlineStr">
        <is>
          <t>PERIODO: pendiente de expediente</t>
        </is>
      </c>
    </row>
    <row r="4">
      <c r="A4" s="1" t="inlineStr">
        <is>
          <t>Nº de VIVIENDAS:</t>
        </is>
      </c>
      <c r="B4" s="1" t="n"/>
      <c r="C4" s="1" t="n"/>
      <c r="D4" s="1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267"/>
  <sheetViews>
    <sheetView topLeftCell="A4" zoomScale="85" zoomScaleNormal="85" workbookViewId="0">
      <selection activeCell="A14" sqref="A14:XFD14"/>
    </sheetView>
  </sheetViews>
  <sheetFormatPr baseColWidth="10" defaultColWidth="9.140625" defaultRowHeight="14.25"/>
  <cols>
    <col width="5.5703125" customWidth="1" style="1" min="1" max="1"/>
    <col width="15.7109375" customWidth="1" style="2" min="2" max="2"/>
    <col width="10.28515625" customWidth="1" style="2" min="3" max="3"/>
    <col width="15.7109375" customWidth="1" style="2" min="4" max="4"/>
    <col width="4.28515625" customWidth="1" style="4" min="5" max="5"/>
    <col width="10" customWidth="1" style="2" min="6" max="6"/>
    <col width="13" customWidth="1" style="4" min="7" max="7"/>
    <col width="9.5703125" customWidth="1" style="4" min="8" max="8"/>
    <col width="9.42578125" customWidth="1" style="5" min="9" max="9"/>
    <col width="12.5703125" customWidth="1" style="4" min="10" max="10"/>
    <col width="15.7109375" customWidth="1" style="4" min="11" max="11"/>
    <col width="21.140625" customWidth="1" style="6" min="12" max="12"/>
    <col width="14.140625" customWidth="1" style="2" min="13" max="13"/>
    <col width="14.140625" customWidth="1" style="4" min="14" max="14"/>
    <col width="14.7109375" customWidth="1" style="42" min="15" max="15"/>
    <col width="12.7109375" customWidth="1" style="42" min="16" max="18"/>
    <col width="8.5703125" customWidth="1" style="35" min="19" max="19"/>
    <col width="4.140625" customWidth="1" style="35" min="20" max="20"/>
    <col width="16.85546875" customWidth="1" style="35" min="21" max="21"/>
    <col width="10.140625" customWidth="1" style="35" min="22" max="23"/>
    <col width="9.140625" customWidth="1" style="1" min="24" max="24"/>
    <col width="9.7109375" customWidth="1" style="1" min="25" max="25"/>
    <col width="9.140625" customWidth="1" style="1" min="26" max="16384"/>
  </cols>
  <sheetData>
    <row r="1">
      <c r="A1" s="1">
        <f>DATOS!A1</f>
        <v/>
      </c>
    </row>
    <row r="2">
      <c r="A2" s="1" t="inlineStr">
        <is>
          <t>FACTURAS SUMINISTRO GAS NATURAL</t>
        </is>
      </c>
    </row>
    <row r="4">
      <c r="A4" s="1" t="inlineStr">
        <is>
          <t>SUMINISTRO:</t>
        </is>
      </c>
      <c r="C4" s="22" t="inlineStr">
        <is>
          <t/>
        </is>
      </c>
      <c r="D4" s="22" t="n"/>
      <c r="I4" s="4" t="n"/>
      <c r="J4" s="7" t="n"/>
      <c r="K4" s="7" t="n"/>
      <c r="L4" s="5" t="n"/>
      <c r="M4" s="1" t="n"/>
      <c r="N4" s="7" t="n"/>
      <c r="R4" s="35" t="n"/>
    </row>
    <row r="5">
      <c r="A5" s="1" t="inlineStr">
        <is>
          <t xml:space="preserve">CUPS: </t>
        </is>
      </c>
      <c r="C5" s="22" t="inlineStr">
        <is>
          <t/>
        </is>
      </c>
      <c r="D5" s="22" t="n"/>
      <c r="I5" s="4" t="n"/>
      <c r="J5" s="7" t="n"/>
      <c r="K5" s="7" t="n"/>
      <c r="L5" s="5" t="n"/>
      <c r="M5" s="1" t="n"/>
      <c r="N5" s="7" t="n"/>
      <c r="R5" s="35" t="n"/>
    </row>
    <row r="7">
      <c r="X7" s="35" t="n"/>
      <c r="Y7" s="35" t="n"/>
    </row>
    <row r="8" ht="16.5" customFormat="1" customHeight="1" s="13">
      <c r="A8" s="217" t="n"/>
      <c r="B8" s="217" t="inlineStr">
        <is>
          <t>Fecha fra.</t>
        </is>
      </c>
      <c r="C8" s="217" t="inlineStr">
        <is>
          <t>Días</t>
        </is>
      </c>
      <c r="D8" s="217" t="inlineStr">
        <is>
          <t>Fecha final</t>
        </is>
      </c>
      <c r="E8" s="217" t="n"/>
      <c r="F8" s="223" t="inlineStr">
        <is>
          <t>Lectura  final</t>
        </is>
      </c>
      <c r="G8" s="217" t="inlineStr">
        <is>
          <t>Fecha inicial</t>
        </is>
      </c>
      <c r="H8" s="223" t="inlineStr">
        <is>
          <t>Lectura inicial</t>
        </is>
      </c>
      <c r="I8" s="223" t="inlineStr">
        <is>
          <t>Consumo (m3)</t>
        </is>
      </c>
      <c r="J8" s="221" t="inlineStr">
        <is>
          <t>Consumo (kWh)</t>
        </is>
      </c>
      <c r="K8" s="217" t="inlineStr">
        <is>
          <t>Término fijo (€ IVA incl.)</t>
        </is>
      </c>
      <c r="L8" s="217" t="inlineStr">
        <is>
          <t>Término variable (€ IVA incl.)</t>
        </is>
      </c>
      <c r="M8" s="222" t="inlineStr">
        <is>
          <t>Importe TOTAL (€ IVA incluido)</t>
        </is>
      </c>
      <c r="N8" s="217" t="inlineStr">
        <is>
          <t>Fecha pago</t>
        </is>
      </c>
      <c r="O8" s="217" t="inlineStr">
        <is>
          <t>Nota</t>
        </is>
      </c>
      <c r="P8" s="220" t="inlineStr">
        <is>
          <t xml:space="preserve">Precio        m3            (IVA incl.) </t>
        </is>
      </c>
      <c r="Q8" s="220" t="inlineStr">
        <is>
          <t xml:space="preserve">Precio medio m3 (IVA incl.) </t>
        </is>
      </c>
      <c r="R8" s="220" t="inlineStr">
        <is>
          <t xml:space="preserve">Precio      kWh                  (IVA incl.) </t>
        </is>
      </c>
      <c r="S8" s="220" t="inlineStr">
        <is>
          <t xml:space="preserve">Precio medio kWh (IVA incl.) </t>
        </is>
      </c>
      <c r="T8" s="219" t="n"/>
      <c r="U8" s="220" t="inlineStr">
        <is>
          <t>CONSUMO INVIERNO (kWh)</t>
        </is>
      </c>
      <c r="V8" s="220" t="inlineStr">
        <is>
          <t>CONSUMO VERANO (kWh)</t>
        </is>
      </c>
      <c r="W8" s="218" t="inlineStr">
        <is>
          <t>%     ACS</t>
        </is>
      </c>
      <c r="X8" s="218" t="inlineStr">
        <is>
          <t>% CALEF.</t>
        </is>
      </c>
      <c r="Y8" s="218" t="inlineStr">
        <is>
          <t>% Tér. Fijo</t>
        </is>
      </c>
      <c r="Z8" s="218" t="inlineStr">
        <is>
          <t>% Tér. Variable</t>
        </is>
      </c>
    </row>
    <row r="9" ht="31.5" customFormat="1" customHeight="1" s="13">
      <c r="E9" s="217" t="n"/>
    </row>
    <row r="10" customFormat="1" s="150">
      <c r="B10" s="151" t="n"/>
      <c r="C10" s="152" t="n"/>
      <c r="D10" s="151" t="n"/>
      <c r="E10" s="197" t="n"/>
      <c r="F10" s="153" t="n"/>
      <c r="G10" s="151" t="n"/>
      <c r="H10" s="153" t="n"/>
      <c r="I10" s="154" t="n"/>
      <c r="J10" s="155" t="n"/>
      <c r="K10" s="156" t="n"/>
      <c r="L10" s="156" t="n"/>
      <c r="M10" s="156" t="n"/>
      <c r="N10" s="151" t="n"/>
      <c r="O10" s="197" t="n"/>
      <c r="P10" s="157" t="n"/>
      <c r="Q10" s="157" t="n"/>
      <c r="R10" s="157" t="n"/>
      <c r="S10" s="158" t="n"/>
      <c r="T10" s="159" t="n"/>
      <c r="U10" s="160" t="n"/>
      <c r="V10" s="161" t="n"/>
      <c r="W10" s="159" t="n"/>
      <c r="X10" s="159" t="n"/>
      <c r="Y10" s="159" t="n"/>
      <c r="Z10" s="159" t="n"/>
    </row>
    <row r="11">
      <c r="B11" s="3" t="n"/>
      <c r="C11" s="2" t="n"/>
      <c r="D11" s="3" t="n"/>
      <c r="E11" s="198" t="n"/>
      <c r="F11" s="4" t="n"/>
      <c r="G11" s="3" t="n"/>
      <c r="H11" s="4" t="n"/>
      <c r="I11" s="10" t="n"/>
      <c r="J11" s="5" t="n"/>
      <c r="K11" s="6" t="n"/>
      <c r="L11" s="6" t="n"/>
      <c r="M11" s="6" t="n"/>
      <c r="N11" s="3" t="n"/>
      <c r="O11" s="197" t="n"/>
      <c r="P11" s="41" t="n"/>
      <c r="Q11" s="41" t="n"/>
      <c r="R11" s="41" t="n"/>
      <c r="S11" s="42" t="n"/>
      <c r="U11" s="34" t="n"/>
      <c r="V11" s="36" t="n"/>
      <c r="X11" s="35" t="n"/>
      <c r="Y11" s="35" t="n"/>
      <c r="Z11" s="35" t="n"/>
    </row>
    <row r="12">
      <c r="B12" s="3" t="n"/>
      <c r="C12" s="2" t="n"/>
      <c r="D12" s="3" t="n"/>
      <c r="E12" s="198" t="n"/>
      <c r="F12" s="4" t="n"/>
      <c r="G12" s="3" t="n"/>
      <c r="H12" s="4" t="n"/>
      <c r="I12" s="10" t="n"/>
      <c r="J12" s="5" t="n"/>
      <c r="K12" s="6" t="n"/>
      <c r="L12" s="6" t="n"/>
      <c r="M12" s="6" t="n"/>
      <c r="N12" s="3" t="n"/>
      <c r="O12" s="197" t="n"/>
      <c r="P12" s="41" t="n"/>
      <c r="Q12" s="41" t="n"/>
      <c r="R12" s="41" t="n"/>
      <c r="S12" s="42" t="n"/>
      <c r="U12" s="34" t="n"/>
      <c r="V12" s="36" t="n"/>
      <c r="X12" s="35" t="n"/>
      <c r="Y12" s="35" t="n"/>
      <c r="Z12" s="35" t="n"/>
    </row>
    <row r="13" customFormat="1" s="150">
      <c r="B13" s="151" t="n"/>
      <c r="C13" s="152" t="n"/>
      <c r="D13" s="151" t="n"/>
      <c r="E13" s="197" t="n"/>
      <c r="F13" s="153" t="n"/>
      <c r="G13" s="151" t="n"/>
      <c r="H13" s="4" t="n"/>
      <c r="I13" s="154" t="n"/>
      <c r="J13" s="155" t="n"/>
      <c r="K13" s="156" t="n"/>
      <c r="L13" s="156" t="n"/>
      <c r="M13" s="156" t="n"/>
      <c r="N13" s="151" t="n"/>
      <c r="O13" s="197" t="n"/>
      <c r="P13" s="157" t="n"/>
      <c r="Q13" s="157" t="n"/>
      <c r="R13" s="157" t="n"/>
      <c r="S13" s="158" t="n"/>
      <c r="T13" s="159" t="n"/>
      <c r="U13" s="160" t="n"/>
      <c r="V13" s="161" t="n"/>
      <c r="W13" s="159" t="n"/>
      <c r="X13" s="159" t="n"/>
      <c r="Y13" s="159" t="n"/>
      <c r="Z13" s="159" t="n"/>
    </row>
    <row r="14" customFormat="1" s="150">
      <c r="B14" s="151" t="n"/>
      <c r="C14" s="152" t="n"/>
      <c r="D14" s="151" t="n"/>
      <c r="E14" s="197" t="n"/>
      <c r="F14" s="153" t="n"/>
      <c r="G14" s="151" t="n"/>
      <c r="H14" s="4" t="n"/>
      <c r="I14" s="154" t="n"/>
      <c r="J14" s="155" t="n"/>
      <c r="K14" s="156" t="n"/>
      <c r="L14" s="156" t="n"/>
      <c r="M14" s="156" t="n"/>
      <c r="N14" s="151" t="n"/>
      <c r="O14" s="197" t="n"/>
      <c r="P14" s="157" t="n"/>
      <c r="Q14" s="157" t="n"/>
      <c r="R14" s="157" t="n"/>
      <c r="S14" s="158" t="n"/>
      <c r="T14" s="159" t="n"/>
      <c r="U14" s="155" t="n"/>
      <c r="V14" s="161" t="n"/>
      <c r="W14" s="159" t="n"/>
      <c r="X14" s="159" t="n"/>
      <c r="Y14" s="159" t="n"/>
      <c r="Z14" s="159" t="n"/>
    </row>
    <row r="15" customFormat="1" s="150">
      <c r="B15" s="151" t="n"/>
      <c r="C15" s="152" t="n"/>
      <c r="D15" s="151" t="n"/>
      <c r="E15" s="197" t="n"/>
      <c r="F15" s="153" t="n"/>
      <c r="G15" s="151" t="n"/>
      <c r="H15" s="4" t="n"/>
      <c r="I15" s="154" t="n"/>
      <c r="J15" s="155" t="n"/>
      <c r="K15" s="156" t="n"/>
      <c r="L15" s="156" t="n"/>
      <c r="M15" s="156" t="n"/>
      <c r="N15" s="151" t="n"/>
      <c r="O15" s="197" t="n"/>
      <c r="P15" s="157" t="n"/>
      <c r="Q15" s="157" t="n"/>
      <c r="R15" s="157" t="n"/>
      <c r="S15" s="158" t="n"/>
      <c r="T15" s="159" t="n"/>
      <c r="U15" s="160" t="n"/>
      <c r="V15" s="161" t="n"/>
      <c r="W15" s="159" t="n"/>
      <c r="X15" s="159" t="n"/>
      <c r="Y15" s="159" t="n"/>
      <c r="Z15" s="159" t="n"/>
    </row>
    <row r="16" customFormat="1" s="150">
      <c r="B16" s="151" t="n"/>
      <c r="C16" s="152" t="n"/>
      <c r="D16" s="151" t="n"/>
      <c r="E16" s="197" t="n"/>
      <c r="F16" s="153" t="n"/>
      <c r="G16" s="151" t="n"/>
      <c r="H16" s="4" t="n"/>
      <c r="I16" s="154" t="n"/>
      <c r="J16" s="155" t="n"/>
      <c r="K16" s="156" t="n"/>
      <c r="L16" s="156" t="n"/>
      <c r="M16" s="156" t="n"/>
      <c r="N16" s="151" t="n"/>
      <c r="O16" s="197" t="n"/>
      <c r="P16" s="157" t="n"/>
      <c r="Q16" s="157" t="n"/>
      <c r="R16" s="157" t="n"/>
      <c r="S16" s="158" t="n"/>
      <c r="T16" s="159" t="n"/>
      <c r="U16" s="160" t="n"/>
      <c r="V16" s="161" t="n"/>
      <c r="W16" s="159" t="n"/>
      <c r="X16" s="159" t="n"/>
      <c r="Y16" s="159" t="n"/>
      <c r="Z16" s="159" t="n"/>
    </row>
    <row r="17" customFormat="1" s="150">
      <c r="B17" s="151" t="n"/>
      <c r="C17" s="152" t="n"/>
      <c r="D17" s="151" t="n"/>
      <c r="E17" s="197" t="n"/>
      <c r="F17" s="153" t="n"/>
      <c r="G17" s="151" t="n"/>
      <c r="H17" s="4" t="n"/>
      <c r="I17" s="154" t="n"/>
      <c r="J17" s="155" t="n"/>
      <c r="K17" s="156" t="n"/>
      <c r="L17" s="156" t="n"/>
      <c r="M17" s="156" t="n"/>
      <c r="N17" s="151" t="n"/>
      <c r="O17" s="197" t="n"/>
      <c r="P17" s="157" t="n"/>
      <c r="Q17" s="157" t="n"/>
      <c r="R17" s="157" t="n"/>
      <c r="S17" s="158" t="n"/>
      <c r="T17" s="159" t="n"/>
      <c r="U17" s="160" t="n"/>
      <c r="V17" s="161" t="n"/>
      <c r="W17" s="159" t="n"/>
      <c r="X17" s="159" t="n"/>
      <c r="Y17" s="159" t="n"/>
      <c r="Z17" s="159" t="n"/>
    </row>
    <row r="18" customFormat="1" s="150">
      <c r="B18" s="151" t="n"/>
      <c r="C18" s="152" t="n"/>
      <c r="D18" s="151" t="n"/>
      <c r="E18" s="197" t="n"/>
      <c r="F18" s="153" t="n"/>
      <c r="G18" s="151" t="n"/>
      <c r="H18" s="4" t="n"/>
      <c r="I18" s="154" t="n"/>
      <c r="J18" s="155" t="n"/>
      <c r="K18" s="156" t="n"/>
      <c r="L18" s="156" t="n"/>
      <c r="M18" s="156" t="n"/>
      <c r="N18" s="151" t="n"/>
      <c r="O18" s="197" t="n"/>
      <c r="P18" s="157" t="n"/>
      <c r="Q18" s="157" t="n"/>
      <c r="R18" s="157" t="n"/>
      <c r="S18" s="158" t="n"/>
      <c r="T18" s="159" t="n"/>
      <c r="U18" s="160" t="n"/>
      <c r="V18" s="161" t="n"/>
      <c r="W18" s="159" t="n"/>
      <c r="X18" s="159" t="n"/>
      <c r="Y18" s="159" t="n"/>
      <c r="Z18" s="159" t="n"/>
    </row>
    <row r="19" customFormat="1" s="150">
      <c r="B19" s="151" t="n"/>
      <c r="C19" s="152" t="n"/>
      <c r="D19" s="151" t="n"/>
      <c r="E19" s="197" t="n"/>
      <c r="F19" s="153" t="n"/>
      <c r="G19" s="151" t="n"/>
      <c r="H19" s="4" t="n"/>
      <c r="I19" s="154" t="n"/>
      <c r="J19" s="155" t="n"/>
      <c r="K19" s="156" t="n"/>
      <c r="L19" s="156" t="n"/>
      <c r="M19" s="156" t="n"/>
      <c r="N19" s="151" t="n"/>
      <c r="O19" s="197" t="n"/>
      <c r="P19" s="157" t="n"/>
      <c r="Q19" s="157" t="n"/>
      <c r="R19" s="157" t="n"/>
      <c r="S19" s="158" t="n"/>
      <c r="T19" s="159" t="n"/>
      <c r="U19" s="160" t="n"/>
      <c r="V19" s="161" t="n"/>
      <c r="W19" s="159" t="n"/>
      <c r="X19" s="159" t="n"/>
      <c r="Y19" s="159" t="n"/>
      <c r="Z19" s="159" t="n"/>
    </row>
    <row r="20" customFormat="1" s="150">
      <c r="B20" s="151" t="n"/>
      <c r="C20" s="152" t="n"/>
      <c r="D20" s="151" t="n"/>
      <c r="E20" s="197" t="n"/>
      <c r="F20" s="153" t="n"/>
      <c r="G20" s="151" t="n"/>
      <c r="H20" s="4" t="n"/>
      <c r="I20" s="154" t="n"/>
      <c r="J20" s="155" t="n"/>
      <c r="K20" s="156" t="n"/>
      <c r="L20" s="156" t="n"/>
      <c r="M20" s="156" t="n"/>
      <c r="N20" s="151" t="n"/>
      <c r="O20" s="197" t="n"/>
      <c r="P20" s="157" t="n"/>
      <c r="Q20" s="157" t="n"/>
      <c r="R20" s="157" t="n"/>
      <c r="S20" s="158" t="n"/>
      <c r="T20" s="159" t="n"/>
      <c r="U20" s="160" t="n"/>
      <c r="V20" s="161" t="n"/>
      <c r="W20" s="159" t="n"/>
      <c r="X20" s="159" t="n"/>
      <c r="Y20" s="159" t="n"/>
      <c r="Z20" s="159" t="n"/>
    </row>
    <row r="21" customFormat="1" s="150">
      <c r="B21" s="151" t="n"/>
      <c r="C21" s="152" t="n"/>
      <c r="D21" s="151" t="n"/>
      <c r="E21" s="197" t="n"/>
      <c r="F21" s="153" t="n"/>
      <c r="G21" s="151" t="n"/>
      <c r="H21" s="4" t="n"/>
      <c r="I21" s="154" t="n"/>
      <c r="J21" s="155" t="n"/>
      <c r="K21" s="156" t="n"/>
      <c r="L21" s="156" t="n"/>
      <c r="M21" s="156" t="n"/>
      <c r="N21" s="151" t="n"/>
      <c r="O21" s="197" t="n"/>
      <c r="P21" s="157" t="n"/>
      <c r="Q21" s="157" t="n"/>
      <c r="R21" s="157" t="n"/>
      <c r="S21" s="158" t="n"/>
      <c r="T21" s="159" t="n"/>
      <c r="U21" s="160" t="n"/>
      <c r="V21" s="161" t="n"/>
      <c r="W21" s="159" t="n"/>
      <c r="X21" s="159" t="n"/>
      <c r="Y21" s="159" t="n"/>
      <c r="Z21" s="159" t="n"/>
    </row>
    <row r="22" customFormat="1" s="150">
      <c r="B22" s="151" t="n"/>
      <c r="C22" s="152" t="n"/>
      <c r="D22" s="151" t="n"/>
      <c r="E22" s="197" t="n"/>
      <c r="F22" s="153" t="n"/>
      <c r="G22" s="151" t="n"/>
      <c r="H22" s="4" t="n"/>
      <c r="I22" s="154" t="n"/>
      <c r="J22" s="155" t="n"/>
      <c r="K22" s="156" t="n"/>
      <c r="L22" s="156" t="n"/>
      <c r="M22" s="156" t="n"/>
      <c r="N22" s="151" t="n"/>
      <c r="O22" s="197" t="n"/>
      <c r="P22" s="157" t="n"/>
      <c r="Q22" s="157" t="n"/>
      <c r="R22" s="157" t="n"/>
      <c r="S22" s="158" t="n"/>
      <c r="T22" s="159" t="n"/>
      <c r="U22" s="160" t="n"/>
      <c r="V22" s="161" t="n"/>
      <c r="W22" s="159" t="n"/>
      <c r="X22" s="159" t="n"/>
      <c r="Y22" s="159" t="n"/>
      <c r="Z22" s="159" t="n"/>
    </row>
    <row r="23" customFormat="1" s="150">
      <c r="B23" s="151" t="n"/>
      <c r="C23" s="152" t="n"/>
      <c r="D23" s="151" t="n"/>
      <c r="E23" s="197" t="n"/>
      <c r="F23" s="153" t="n"/>
      <c r="G23" s="151" t="n"/>
      <c r="H23" s="4" t="n"/>
      <c r="I23" s="154" t="n"/>
      <c r="J23" s="155" t="n"/>
      <c r="K23" s="156" t="n"/>
      <c r="L23" s="156" t="n"/>
      <c r="M23" s="156" t="n"/>
      <c r="N23" s="151" t="n"/>
      <c r="O23" s="197" t="n"/>
      <c r="P23" s="157" t="n"/>
      <c r="Q23" s="157" t="n"/>
      <c r="R23" s="157" t="n"/>
      <c r="S23" s="158" t="n"/>
      <c r="T23" s="159" t="n"/>
      <c r="U23" s="160" t="n"/>
      <c r="V23" s="161" t="n"/>
      <c r="W23" s="159" t="n"/>
      <c r="X23" s="159" t="n"/>
      <c r="Y23" s="159" t="n"/>
      <c r="Z23" s="159" t="n"/>
    </row>
    <row r="24" customFormat="1" s="150">
      <c r="B24" s="151" t="n"/>
      <c r="C24" s="152" t="n"/>
      <c r="D24" s="151" t="n"/>
      <c r="E24" s="197" t="n"/>
      <c r="F24" s="153" t="n"/>
      <c r="G24" s="151" t="n"/>
      <c r="H24" s="4" t="n"/>
      <c r="I24" s="154" t="n"/>
      <c r="J24" s="155" t="n"/>
      <c r="K24" s="156" t="n"/>
      <c r="L24" s="156" t="n"/>
      <c r="M24" s="156" t="n"/>
      <c r="N24" s="151" t="n"/>
      <c r="O24" s="197" t="n"/>
      <c r="P24" s="157" t="n"/>
      <c r="Q24" s="157" t="n"/>
      <c r="R24" s="157" t="n"/>
      <c r="S24" s="158" t="n"/>
      <c r="T24" s="159" t="n"/>
      <c r="U24" s="160" t="n"/>
      <c r="V24" s="161" t="n"/>
      <c r="W24" s="159" t="n"/>
      <c r="X24" s="159" t="n"/>
      <c r="Y24" s="159" t="n"/>
      <c r="Z24" s="159" t="n"/>
    </row>
    <row r="25" customFormat="1" s="150">
      <c r="B25" s="151" t="n"/>
      <c r="C25" s="152" t="n"/>
      <c r="D25" s="151" t="n"/>
      <c r="E25" s="197" t="n"/>
      <c r="F25" s="153" t="n"/>
      <c r="G25" s="151" t="n"/>
      <c r="H25" s="4" t="n"/>
      <c r="I25" s="154" t="n"/>
      <c r="J25" s="155" t="n"/>
      <c r="K25" s="156" t="n"/>
      <c r="L25" s="156" t="n"/>
      <c r="M25" s="156" t="n"/>
      <c r="N25" s="151" t="n"/>
      <c r="O25" s="197" t="n"/>
      <c r="P25" s="157" t="n"/>
      <c r="Q25" s="157" t="n"/>
      <c r="R25" s="157" t="n"/>
      <c r="S25" s="158" t="n"/>
      <c r="T25" s="159" t="n"/>
      <c r="U25" s="160" t="n"/>
      <c r="V25" s="161" t="n"/>
      <c r="W25" s="159" t="n"/>
      <c r="X25" s="159" t="n"/>
      <c r="Y25" s="159" t="n"/>
      <c r="Z25" s="159" t="n"/>
    </row>
    <row r="26" customFormat="1" s="150">
      <c r="A26" s="201" t="n"/>
      <c r="B26" s="151" t="n"/>
      <c r="C26" s="152" t="n"/>
      <c r="D26" s="151" t="n"/>
      <c r="E26" s="197" t="n"/>
      <c r="F26" s="153" t="n"/>
      <c r="G26" s="151" t="n"/>
      <c r="H26" s="4" t="n"/>
      <c r="I26" s="154" t="n"/>
      <c r="J26" s="155" t="n"/>
      <c r="K26" s="156" t="n"/>
      <c r="L26" s="156" t="n"/>
      <c r="M26" s="156" t="n"/>
      <c r="N26" s="151" t="n"/>
      <c r="O26" s="197" t="n"/>
      <c r="P26" s="157" t="n"/>
      <c r="Q26" s="157" t="n"/>
      <c r="R26" s="157" t="n"/>
      <c r="S26" s="158" t="n"/>
      <c r="T26" s="159" t="n"/>
      <c r="U26" s="160" t="n"/>
      <c r="V26" s="161" t="n"/>
      <c r="W26" s="159" t="n"/>
      <c r="X26" s="159" t="n"/>
      <c r="Y26" s="159" t="n"/>
      <c r="Z26" s="159" t="n"/>
    </row>
    <row r="27" customFormat="1" s="150">
      <c r="B27" s="151" t="n"/>
      <c r="C27" s="152" t="n"/>
      <c r="D27" s="151" t="n"/>
      <c r="E27" s="197" t="n"/>
      <c r="F27" s="153" t="n"/>
      <c r="G27" s="151" t="n"/>
      <c r="H27" s="4" t="n"/>
      <c r="I27" s="154" t="n"/>
      <c r="J27" s="155" t="n"/>
      <c r="K27" s="156" t="n"/>
      <c r="L27" s="156" t="n"/>
      <c r="M27" s="156" t="n"/>
      <c r="N27" s="151" t="n"/>
      <c r="O27" s="197" t="n"/>
      <c r="P27" s="157" t="n"/>
      <c r="Q27" s="157" t="n"/>
      <c r="R27" s="157" t="n"/>
      <c r="S27" s="158" t="n"/>
      <c r="T27" s="159" t="n"/>
      <c r="U27" s="160" t="n"/>
      <c r="V27" s="161" t="n"/>
      <c r="W27" s="159" t="n"/>
      <c r="X27" s="159" t="n"/>
      <c r="Y27" s="159" t="n"/>
      <c r="Z27" s="159" t="n"/>
    </row>
    <row r="28" customFormat="1" s="150">
      <c r="B28" s="151" t="n"/>
      <c r="C28" s="152" t="n"/>
      <c r="D28" s="151" t="n"/>
      <c r="E28" s="197" t="n"/>
      <c r="F28" s="153" t="n"/>
      <c r="G28" s="151" t="n"/>
      <c r="H28" s="4" t="n"/>
      <c r="I28" s="154" t="n"/>
      <c r="J28" s="155" t="n"/>
      <c r="K28" s="156" t="n"/>
      <c r="L28" s="156" t="n"/>
      <c r="M28" s="156" t="n"/>
      <c r="N28" s="151" t="n"/>
      <c r="O28" s="197" t="n"/>
      <c r="P28" s="157" t="n"/>
      <c r="Q28" s="157" t="n"/>
      <c r="R28" s="157" t="n"/>
      <c r="S28" s="158" t="n"/>
      <c r="T28" s="159" t="n"/>
      <c r="U28" s="160" t="n"/>
      <c r="V28" s="161" t="n"/>
      <c r="W28" s="159" t="n"/>
      <c r="X28" s="159" t="n"/>
      <c r="Y28" s="159" t="n"/>
      <c r="Z28" s="159" t="n"/>
    </row>
    <row r="29">
      <c r="B29" s="3" t="n"/>
      <c r="C29" s="2" t="n"/>
      <c r="D29" s="3" t="n"/>
      <c r="E29" s="198" t="n"/>
      <c r="F29" s="4" t="n"/>
      <c r="G29" s="3" t="n"/>
      <c r="H29" s="4" t="n"/>
      <c r="I29" s="10" t="n"/>
      <c r="J29" s="5" t="n"/>
      <c r="K29" s="156" t="n"/>
      <c r="L29" s="156" t="n"/>
      <c r="M29" s="156" t="n"/>
      <c r="N29" s="151" t="n"/>
      <c r="O29" s="198" t="n"/>
      <c r="P29" s="157" t="n"/>
      <c r="Q29" s="41" t="n"/>
      <c r="R29" s="157" t="n"/>
      <c r="S29" s="42" t="n"/>
      <c r="U29" s="34" t="n"/>
      <c r="V29" s="36" t="n"/>
      <c r="X29" s="35" t="n"/>
      <c r="Y29" s="35" t="n"/>
      <c r="Z29" s="35" t="n"/>
    </row>
    <row r="30">
      <c r="B30" s="16" t="n"/>
      <c r="C30" s="75" t="n"/>
      <c r="D30" s="16" t="n"/>
      <c r="E30" s="199" t="n"/>
      <c r="F30" s="17" t="n"/>
      <c r="G30" s="16" t="n"/>
      <c r="H30" s="17" t="n"/>
      <c r="I30" s="18" t="n"/>
      <c r="J30" s="19" t="n"/>
      <c r="K30" s="20" t="n"/>
      <c r="L30" s="20" t="n"/>
      <c r="M30" s="20" t="n"/>
      <c r="N30" s="16" t="n"/>
      <c r="O30" s="198" t="n"/>
      <c r="P30" s="43" t="n"/>
      <c r="Q30" s="43" t="n"/>
      <c r="R30" s="157" t="n"/>
      <c r="S30" s="74" t="n"/>
      <c r="T30" s="39" t="n"/>
      <c r="U30" s="37" t="n"/>
      <c r="V30" s="38" t="n"/>
      <c r="W30" s="39" t="n"/>
      <c r="X30" s="39" t="n"/>
      <c r="Y30" s="39" t="n"/>
      <c r="Z30" s="39" t="n"/>
    </row>
    <row r="31" ht="15" customHeight="1">
      <c r="B31" s="15" t="inlineStr">
        <is>
          <t>Suma ….</t>
        </is>
      </c>
      <c r="C31" s="2">
        <f>SUM(C10:C30)</f>
        <v/>
      </c>
      <c r="D31" s="3" t="n"/>
      <c r="E31" s="3" t="n"/>
      <c r="F31" s="4" t="n"/>
      <c r="G31" s="3" t="n"/>
      <c r="H31" s="15" t="n"/>
      <c r="I31" s="10">
        <f>SUM(I10:I30)</f>
        <v/>
      </c>
      <c r="J31" s="5">
        <f>SUM(J10:J30)</f>
        <v/>
      </c>
      <c r="K31" s="6">
        <f>SUM(K10:K30)</f>
        <v/>
      </c>
      <c r="L31" s="6">
        <f>SUM(L10:L30)</f>
        <v/>
      </c>
      <c r="M31" s="6">
        <f>SUM(M10:M30)</f>
        <v/>
      </c>
      <c r="N31" s="3" t="n"/>
      <c r="O31" s="4" t="n"/>
      <c r="Q31" s="71">
        <f>L31/I31</f>
        <v/>
      </c>
      <c r="S31" s="72">
        <f>L31/J31</f>
        <v/>
      </c>
      <c r="U31" s="36">
        <f>SUM(U10:U30)</f>
        <v/>
      </c>
      <c r="V31" s="36">
        <f>SUM(V10:V30)</f>
        <v/>
      </c>
      <c r="W31" s="76">
        <f>(V31+U31*V32)/J31</f>
        <v/>
      </c>
      <c r="X31" s="76">
        <f>U31*(1-V32)/J31</f>
        <v/>
      </c>
      <c r="Y31" s="76">
        <f>K31/M31</f>
        <v/>
      </c>
      <c r="Z31" s="76">
        <f>L31/M31</f>
        <v/>
      </c>
    </row>
    <row r="32">
      <c r="B32" s="3" t="n"/>
      <c r="C32" s="3" t="n"/>
      <c r="D32" s="3" t="n"/>
      <c r="F32" s="3" t="n"/>
      <c r="H32" s="10" t="n"/>
      <c r="J32" s="6" t="n"/>
      <c r="K32" s="6" t="n"/>
      <c r="M32" s="3" t="n"/>
      <c r="N32" s="3" t="n"/>
      <c r="O32" s="41" t="n"/>
      <c r="P32" s="41" t="n"/>
      <c r="Q32" s="41" t="n"/>
      <c r="U32" s="40">
        <f>U31/J31</f>
        <v/>
      </c>
      <c r="V32" s="40">
        <f>V31/J31</f>
        <v/>
      </c>
      <c r="X32" s="35" t="n"/>
      <c r="Y32" s="35" t="n"/>
    </row>
    <row r="33">
      <c r="B33" s="3" t="n"/>
      <c r="C33" s="3" t="n"/>
      <c r="D33" s="3" t="n"/>
      <c r="F33" s="3" t="n"/>
      <c r="H33" s="10" t="n"/>
      <c r="J33" s="6" t="n"/>
      <c r="K33" s="6" t="n"/>
      <c r="M33" s="3" t="n"/>
      <c r="N33" s="3" t="n"/>
      <c r="O33" s="41" t="n"/>
      <c r="P33" s="41" t="n"/>
      <c r="Q33" s="41" t="n"/>
      <c r="T33" s="34" t="n"/>
      <c r="U33" s="36" t="n"/>
      <c r="X33" s="35" t="n"/>
      <c r="Y33" s="35" t="n"/>
    </row>
    <row r="34">
      <c r="B34" s="3" t="n"/>
      <c r="C34" s="3" t="n"/>
      <c r="D34" s="3" t="n"/>
      <c r="F34" s="3" t="n"/>
      <c r="M34" s="3" t="n"/>
    </row>
    <row r="35">
      <c r="B35" s="3" t="n"/>
      <c r="C35" s="3" t="n"/>
      <c r="D35" s="3" t="n"/>
      <c r="F35" s="3" t="n"/>
      <c r="M35" s="200" t="n"/>
    </row>
    <row r="36">
      <c r="B36" s="3" t="n"/>
      <c r="C36" s="3" t="n"/>
      <c r="D36" s="3" t="n"/>
      <c r="F36" s="3" t="n"/>
      <c r="M36" s="3" t="n"/>
    </row>
    <row r="37">
      <c r="B37" s="3" t="n"/>
      <c r="C37" s="3" t="n"/>
      <c r="D37" s="3" t="n"/>
      <c r="F37" s="3" t="n"/>
      <c r="M37" s="3" t="n"/>
    </row>
    <row r="38">
      <c r="B38" s="3" t="n"/>
      <c r="C38" s="3" t="n"/>
      <c r="D38" s="3" t="n"/>
      <c r="F38" s="3" t="n"/>
      <c r="M38" s="3" t="n"/>
    </row>
    <row r="39">
      <c r="B39" s="3" t="n"/>
      <c r="C39" s="3" t="n"/>
      <c r="D39" s="3" t="n"/>
      <c r="F39" s="3" t="n"/>
      <c r="M39" s="3" t="n"/>
    </row>
    <row r="40">
      <c r="B40" s="3" t="n"/>
      <c r="C40" s="3" t="n"/>
      <c r="D40" s="3" t="n"/>
      <c r="F40" s="3" t="n"/>
      <c r="M40" s="3" t="n"/>
    </row>
    <row r="41" ht="26.25" customHeight="1">
      <c r="B41" s="217" t="inlineStr">
        <is>
          <t>Fecha fra.</t>
        </is>
      </c>
      <c r="C41" s="217" t="inlineStr">
        <is>
          <t>Días</t>
        </is>
      </c>
      <c r="D41" s="217" t="inlineStr">
        <is>
          <t>Fecha final</t>
        </is>
      </c>
      <c r="E41" s="217" t="inlineStr">
        <is>
          <t>Columna1</t>
        </is>
      </c>
      <c r="F41" s="223" t="inlineStr">
        <is>
          <t>Lectura  final</t>
        </is>
      </c>
      <c r="G41" s="217" t="inlineStr">
        <is>
          <t>Fecha inicial</t>
        </is>
      </c>
      <c r="H41" s="223" t="inlineStr">
        <is>
          <t>Lectura inicial</t>
        </is>
      </c>
      <c r="I41" s="223" t="inlineStr">
        <is>
          <t>Consumo (m3)</t>
        </is>
      </c>
      <c r="J41" s="221" t="inlineStr">
        <is>
          <t>Consumo (kWh)</t>
        </is>
      </c>
      <c r="K41" s="217" t="inlineStr">
        <is>
          <t>Término fijo (€ IVA incl.)</t>
        </is>
      </c>
      <c r="L41" s="217" t="inlineStr">
        <is>
          <t>Término variable (€ IVA incl.)</t>
        </is>
      </c>
      <c r="M41" s="222" t="inlineStr">
        <is>
          <t>Importe TOTAL (€ IVA incluido)</t>
        </is>
      </c>
      <c r="N41" s="217" t="inlineStr">
        <is>
          <t>Fecha pago</t>
        </is>
      </c>
      <c r="O41" s="217" t="inlineStr">
        <is>
          <t>empresa</t>
        </is>
      </c>
    </row>
    <row r="42">
      <c r="B42" s="151" t="n"/>
      <c r="C42" s="152" t="n"/>
      <c r="D42" s="151" t="n"/>
      <c r="E42" s="197" t="n"/>
      <c r="F42" s="153" t="n"/>
      <c r="G42" s="151" t="n"/>
      <c r="H42" s="153" t="n"/>
      <c r="I42" s="154" t="n"/>
      <c r="J42" s="155" t="n"/>
      <c r="K42" s="156" t="n"/>
      <c r="L42" s="156" t="n"/>
      <c r="M42" s="156" t="n"/>
      <c r="N42" s="151" t="n"/>
      <c r="O42" s="197" t="n"/>
    </row>
    <row r="43">
      <c r="B43" s="3" t="n"/>
      <c r="C43" s="2" t="n"/>
      <c r="D43" s="3" t="n"/>
      <c r="E43" s="198" t="n"/>
      <c r="F43" s="4" t="n"/>
      <c r="G43" s="3" t="n"/>
      <c r="H43" s="4" t="n"/>
      <c r="I43" s="10" t="n"/>
      <c r="J43" s="5" t="n"/>
      <c r="K43" s="6" t="n"/>
      <c r="L43" s="6" t="n"/>
      <c r="M43" s="6" t="n"/>
      <c r="N43" s="3" t="n"/>
      <c r="O43" s="197" t="n"/>
    </row>
    <row r="44">
      <c r="B44" s="3" t="n"/>
      <c r="C44" s="2" t="n"/>
      <c r="D44" s="3" t="n"/>
      <c r="E44" s="198" t="n"/>
      <c r="F44" s="4" t="n"/>
      <c r="G44" s="3" t="n"/>
      <c r="H44" s="4" t="n"/>
      <c r="I44" s="10" t="n"/>
      <c r="J44" s="5" t="n"/>
      <c r="K44" s="6" t="n"/>
      <c r="L44" s="6" t="n"/>
      <c r="M44" s="6" t="n"/>
      <c r="N44" s="3" t="n"/>
      <c r="O44" s="197" t="n"/>
    </row>
    <row r="45">
      <c r="B45" s="151" t="n"/>
      <c r="C45" s="152" t="n"/>
      <c r="D45" s="151" t="n"/>
      <c r="E45" s="197" t="n"/>
      <c r="F45" s="153" t="n"/>
      <c r="G45" s="151" t="n"/>
      <c r="H45" s="4" t="n"/>
      <c r="I45" s="154" t="n"/>
      <c r="J45" s="155" t="n"/>
      <c r="K45" s="156" t="n"/>
      <c r="L45" s="156" t="n"/>
      <c r="M45" s="156" t="n"/>
      <c r="N45" s="151" t="n"/>
      <c r="O45" s="197" t="n"/>
    </row>
    <row r="46">
      <c r="B46" s="151" t="n"/>
      <c r="C46" s="152" t="n"/>
      <c r="D46" s="151" t="n"/>
      <c r="E46" s="197" t="n"/>
      <c r="F46" s="153" t="n"/>
      <c r="G46" s="151" t="n"/>
      <c r="H46" s="4" t="n"/>
      <c r="I46" s="154" t="n"/>
      <c r="J46" s="155" t="n"/>
      <c r="K46" s="156" t="n"/>
      <c r="L46" s="156" t="n"/>
      <c r="M46" s="156" t="n"/>
      <c r="N46" s="151" t="n"/>
      <c r="O46" s="197" t="n"/>
    </row>
    <row r="47">
      <c r="B47" s="151" t="n"/>
      <c r="C47" s="152" t="n"/>
      <c r="D47" s="151" t="n"/>
      <c r="E47" s="197" t="n"/>
      <c r="F47" s="153" t="n"/>
      <c r="G47" s="151" t="n"/>
      <c r="H47" s="4" t="n"/>
      <c r="I47" s="154" t="n"/>
      <c r="J47" s="155" t="n"/>
      <c r="K47" s="156" t="n"/>
      <c r="L47" s="156" t="n"/>
      <c r="M47" s="156" t="n"/>
      <c r="N47" s="151" t="n"/>
      <c r="O47" s="197" t="n"/>
    </row>
    <row r="48">
      <c r="B48" s="151" t="n"/>
      <c r="C48" s="152" t="n"/>
      <c r="D48" s="151" t="n"/>
      <c r="E48" s="197" t="n"/>
      <c r="F48" s="153" t="n"/>
      <c r="G48" s="151" t="n"/>
      <c r="H48" s="4" t="n"/>
      <c r="I48" s="154" t="n"/>
      <c r="J48" s="155" t="n"/>
      <c r="K48" s="156" t="n"/>
      <c r="L48" s="156" t="n"/>
      <c r="M48" s="156" t="n"/>
      <c r="N48" s="151" t="n"/>
      <c r="O48" s="197" t="n"/>
    </row>
    <row r="49">
      <c r="B49" s="151" t="n"/>
      <c r="C49" s="152" t="n"/>
      <c r="D49" s="151" t="n"/>
      <c r="E49" s="197" t="n"/>
      <c r="F49" s="153" t="n"/>
      <c r="G49" s="151" t="n"/>
      <c r="H49" s="4" t="n"/>
      <c r="I49" s="154" t="n"/>
      <c r="J49" s="155" t="n"/>
      <c r="K49" s="156" t="n"/>
      <c r="L49" s="156" t="n"/>
      <c r="M49" s="156" t="n"/>
      <c r="N49" s="151" t="n"/>
      <c r="O49" s="197" t="n"/>
    </row>
    <row r="50">
      <c r="B50" s="151" t="n"/>
      <c r="C50" s="152" t="n"/>
      <c r="D50" s="151" t="n"/>
      <c r="E50" s="197" t="n"/>
      <c r="F50" s="153" t="n"/>
      <c r="G50" s="151" t="n"/>
      <c r="H50" s="4" t="n"/>
      <c r="I50" s="154" t="n"/>
      <c r="J50" s="155" t="n"/>
      <c r="K50" s="156" t="n"/>
      <c r="L50" s="156" t="n"/>
      <c r="M50" s="156" t="n"/>
      <c r="N50" s="151" t="n"/>
      <c r="O50" s="197" t="n"/>
    </row>
    <row r="51">
      <c r="B51" s="151" t="n"/>
      <c r="C51" s="152" t="n"/>
      <c r="D51" s="151" t="n"/>
      <c r="E51" s="197" t="n"/>
      <c r="F51" s="153" t="n"/>
      <c r="G51" s="151" t="n"/>
      <c r="H51" s="4" t="n"/>
      <c r="I51" s="154" t="n"/>
      <c r="J51" s="155" t="n"/>
      <c r="K51" s="156" t="n"/>
      <c r="L51" s="156" t="n"/>
      <c r="M51" s="156" t="n"/>
      <c r="N51" s="151" t="n"/>
      <c r="O51" s="197" t="n"/>
    </row>
    <row r="52">
      <c r="B52" s="151" t="n"/>
      <c r="C52" s="152" t="n"/>
      <c r="D52" s="151" t="n"/>
      <c r="E52" s="197" t="n"/>
      <c r="F52" s="153" t="n"/>
      <c r="G52" s="151" t="n"/>
      <c r="H52" s="4" t="n"/>
      <c r="I52" s="154" t="n"/>
      <c r="J52" s="155" t="n"/>
      <c r="K52" s="156" t="n"/>
      <c r="L52" s="156" t="n"/>
      <c r="M52" s="156" t="n"/>
      <c r="N52" s="151" t="n"/>
      <c r="O52" s="197" t="n"/>
    </row>
    <row r="53">
      <c r="B53" s="151" t="n"/>
      <c r="C53" s="152" t="n"/>
      <c r="D53" s="151" t="n"/>
      <c r="E53" s="197" t="n"/>
      <c r="F53" s="153" t="n"/>
      <c r="G53" s="151" t="n"/>
      <c r="H53" s="4" t="n"/>
      <c r="I53" s="154" t="n"/>
      <c r="J53" s="155" t="n"/>
      <c r="K53" s="156" t="n"/>
      <c r="L53" s="156" t="n"/>
      <c r="M53" s="156" t="n"/>
      <c r="N53" s="151" t="n"/>
      <c r="O53" s="197" t="n"/>
    </row>
    <row r="54">
      <c r="B54" s="151" t="n"/>
      <c r="C54" s="152" t="n"/>
      <c r="D54" s="151" t="n"/>
      <c r="E54" s="197" t="n"/>
      <c r="F54" s="153" t="n"/>
      <c r="G54" s="151" t="n"/>
      <c r="H54" s="4" t="n"/>
      <c r="I54" s="154" t="n"/>
      <c r="J54" s="155" t="n"/>
      <c r="K54" s="156" t="n"/>
      <c r="L54" s="156" t="n"/>
      <c r="M54" s="156" t="n"/>
      <c r="N54" s="151" t="n"/>
      <c r="O54" s="197" t="n"/>
    </row>
    <row r="55">
      <c r="B55" s="151" t="n"/>
      <c r="C55" s="152" t="n"/>
      <c r="D55" s="151" t="n"/>
      <c r="E55" s="197" t="n"/>
      <c r="F55" s="153" t="n"/>
      <c r="G55" s="151" t="n"/>
      <c r="H55" s="4" t="n"/>
      <c r="I55" s="154" t="n"/>
      <c r="J55" s="155" t="n"/>
      <c r="K55" s="156" t="n"/>
      <c r="L55" s="156" t="n"/>
      <c r="M55" s="156" t="n"/>
      <c r="N55" s="151" t="n"/>
      <c r="O55" s="197" t="n"/>
    </row>
    <row r="56">
      <c r="B56" s="151" t="n"/>
      <c r="C56" s="152" t="n"/>
      <c r="D56" s="151" t="n"/>
      <c r="E56" s="197" t="n"/>
      <c r="F56" s="153" t="n"/>
      <c r="G56" s="151" t="n"/>
      <c r="H56" s="4" t="n"/>
      <c r="I56" s="154" t="n"/>
      <c r="J56" s="155" t="n"/>
      <c r="K56" s="156" t="n"/>
      <c r="L56" s="156" t="n"/>
      <c r="M56" s="156" t="n"/>
      <c r="N56" s="151" t="n"/>
      <c r="O56" s="197" t="n"/>
    </row>
    <row r="57">
      <c r="B57" s="151" t="n"/>
      <c r="C57" s="152" t="n"/>
      <c r="D57" s="151" t="n"/>
      <c r="E57" s="197" t="n"/>
      <c r="F57" s="153" t="n"/>
      <c r="G57" s="151" t="n"/>
      <c r="H57" s="4" t="n"/>
      <c r="I57" s="154" t="n"/>
      <c r="J57" s="155" t="n"/>
      <c r="K57" s="156" t="n"/>
      <c r="L57" s="156" t="n"/>
      <c r="M57" s="156" t="n"/>
      <c r="N57" s="151" t="n"/>
      <c r="O57" s="197" t="n"/>
    </row>
    <row r="58">
      <c r="B58" s="151" t="n"/>
      <c r="C58" s="152" t="n"/>
      <c r="D58" s="151" t="n"/>
      <c r="E58" s="197" t="n"/>
      <c r="F58" s="153" t="n"/>
      <c r="G58" s="151" t="n"/>
      <c r="H58" s="4" t="n"/>
      <c r="I58" s="154" t="n"/>
      <c r="J58" s="155" t="n"/>
      <c r="K58" s="156" t="n"/>
      <c r="L58" s="156" t="n"/>
      <c r="M58" s="156" t="n"/>
      <c r="N58" s="151" t="n"/>
      <c r="O58" s="197" t="n"/>
    </row>
    <row r="59">
      <c r="B59" s="151" t="n"/>
      <c r="C59" s="152" t="n"/>
      <c r="D59" s="151" t="n"/>
      <c r="E59" s="197" t="n"/>
      <c r="F59" s="153" t="n"/>
      <c r="G59" s="151" t="n"/>
      <c r="H59" s="4" t="n"/>
      <c r="I59" s="154" t="n"/>
      <c r="J59" s="155" t="n"/>
      <c r="K59" s="156" t="n"/>
      <c r="L59" s="156" t="n"/>
      <c r="M59" s="156" t="n"/>
      <c r="N59" s="151" t="n"/>
      <c r="O59" s="197" t="n"/>
    </row>
    <row r="60">
      <c r="B60" s="151" t="n"/>
      <c r="C60" s="152" t="n"/>
      <c r="D60" s="151" t="n"/>
      <c r="E60" s="197" t="n"/>
      <c r="F60" s="153" t="n"/>
      <c r="G60" s="151" t="n"/>
      <c r="H60" s="4" t="n"/>
      <c r="I60" s="154" t="n"/>
      <c r="J60" s="155" t="n"/>
      <c r="K60" s="156" t="n"/>
      <c r="L60" s="156" t="n"/>
      <c r="M60" s="156" t="n"/>
      <c r="N60" s="151" t="n"/>
      <c r="O60" s="197" t="n"/>
    </row>
    <row r="61">
      <c r="B61" s="3" t="n"/>
      <c r="C61" s="2" t="n"/>
      <c r="D61" s="3" t="n"/>
      <c r="E61" s="198" t="n"/>
      <c r="F61" s="4" t="n"/>
      <c r="G61" s="3" t="n"/>
      <c r="H61" s="4" t="n"/>
      <c r="I61" s="10" t="n"/>
      <c r="J61" s="5" t="n"/>
      <c r="K61" s="156" t="n"/>
      <c r="L61" s="156" t="n"/>
      <c r="M61" s="156" t="n"/>
      <c r="N61" s="151" t="n"/>
      <c r="O61" s="198" t="n"/>
    </row>
    <row r="62">
      <c r="B62" s="16" t="n"/>
      <c r="C62" s="75" t="n"/>
      <c r="D62" s="16" t="n"/>
      <c r="E62" s="199" t="n"/>
      <c r="F62" s="17" t="n"/>
      <c r="G62" s="16" t="n"/>
      <c r="H62" s="17" t="n"/>
      <c r="I62" s="18" t="n"/>
      <c r="J62" s="19" t="n"/>
      <c r="K62" s="20" t="n"/>
      <c r="L62" s="20" t="n"/>
      <c r="M62" s="20" t="n"/>
      <c r="N62" s="16" t="n"/>
      <c r="O62" s="198" t="n"/>
    </row>
    <row r="63">
      <c r="B63" s="15" t="inlineStr">
        <is>
          <t>Suma ….</t>
        </is>
      </c>
      <c r="C63" s="2">
        <f>SUM(C42:C62)</f>
        <v/>
      </c>
      <c r="D63" s="3" t="n"/>
      <c r="E63" s="3" t="n"/>
      <c r="F63" s="4" t="n"/>
      <c r="G63" s="3" t="n"/>
      <c r="H63" s="15" t="n"/>
      <c r="I63" s="10">
        <f>SUM(I42:I62)</f>
        <v/>
      </c>
      <c r="J63" s="5">
        <f>SUM(J42:J62)</f>
        <v/>
      </c>
      <c r="K63" s="6">
        <f>SUM(K42:K62)</f>
        <v/>
      </c>
      <c r="L63" s="6">
        <f>SUM(L42:L62)</f>
        <v/>
      </c>
      <c r="M63" s="6">
        <f>SUM(M42:M62)</f>
        <v/>
      </c>
      <c r="N63" s="3" t="n"/>
      <c r="O63" s="4" t="n"/>
    </row>
    <row r="64">
      <c r="B64" s="3" t="n"/>
      <c r="C64" s="3" t="n"/>
      <c r="D64" s="3" t="n"/>
      <c r="F64" s="3" t="n"/>
      <c r="M64" s="3" t="n"/>
    </row>
    <row r="65">
      <c r="B65" s="3" t="n"/>
      <c r="C65" s="3" t="n"/>
      <c r="D65" s="3" t="n"/>
      <c r="F65" s="3" t="n"/>
      <c r="M65" s="3" t="n"/>
    </row>
    <row r="66">
      <c r="B66" s="3" t="n"/>
      <c r="C66" s="3" t="n"/>
      <c r="D66" s="3" t="n"/>
      <c r="F66" s="3" t="n"/>
      <c r="M66" s="3" t="n"/>
    </row>
    <row r="67">
      <c r="B67" s="3" t="n"/>
      <c r="C67" s="3" t="n"/>
      <c r="D67" s="3" t="n"/>
      <c r="F67" s="3" t="n"/>
      <c r="M67" s="3" t="n"/>
    </row>
    <row r="68">
      <c r="B68" s="3" t="n"/>
      <c r="C68" s="3" t="n"/>
      <c r="D68" s="3" t="n"/>
      <c r="F68" s="3" t="n"/>
      <c r="M68" s="3" t="n"/>
    </row>
    <row r="69">
      <c r="B69" s="3" t="n"/>
      <c r="C69" s="3" t="n"/>
      <c r="D69" s="3" t="n"/>
      <c r="F69" s="3" t="n"/>
      <c r="M69" s="3" t="n"/>
    </row>
    <row r="70">
      <c r="B70" s="3" t="n"/>
      <c r="C70" s="3" t="n"/>
      <c r="D70" s="3" t="n"/>
      <c r="F70" s="3" t="n"/>
      <c r="M70" s="3" t="n"/>
    </row>
    <row r="71">
      <c r="B71" s="3" t="n"/>
      <c r="C71" s="3" t="n"/>
      <c r="D71" s="3" t="n"/>
      <c r="F71" s="3" t="n"/>
      <c r="M71" s="3" t="n"/>
    </row>
    <row r="72">
      <c r="B72" s="3" t="n"/>
      <c r="C72" s="3" t="n"/>
      <c r="D72" s="3" t="n"/>
      <c r="F72" s="3" t="n"/>
      <c r="M72" s="3" t="n"/>
    </row>
    <row r="73">
      <c r="B73" s="3" t="n"/>
      <c r="C73" s="3" t="n"/>
      <c r="D73" s="3" t="n"/>
      <c r="F73" s="3" t="n"/>
      <c r="M73" s="3" t="n"/>
    </row>
    <row r="74">
      <c r="B74" s="3" t="n"/>
      <c r="C74" s="3" t="n"/>
      <c r="D74" s="3" t="n"/>
      <c r="F74" s="3" t="n"/>
      <c r="M74" s="3" t="n"/>
    </row>
    <row r="75">
      <c r="B75" s="3" t="n"/>
      <c r="C75" s="3" t="n"/>
      <c r="D75" s="3" t="n"/>
      <c r="F75" s="3" t="n"/>
      <c r="M75" s="3" t="n"/>
    </row>
    <row r="76">
      <c r="B76" s="3" t="n"/>
      <c r="C76" s="3" t="n"/>
      <c r="D76" s="3" t="n"/>
      <c r="F76" s="3" t="n"/>
      <c r="M76" s="3" t="n"/>
    </row>
    <row r="77">
      <c r="B77" s="3" t="n"/>
      <c r="C77" s="3" t="n"/>
      <c r="D77" s="3" t="n"/>
      <c r="F77" s="3" t="n"/>
      <c r="M77" s="3" t="n"/>
    </row>
    <row r="78">
      <c r="B78" s="3" t="n"/>
      <c r="C78" s="3" t="n"/>
      <c r="D78" s="3" t="n"/>
      <c r="F78" s="3" t="n"/>
      <c r="M78" s="3" t="n"/>
    </row>
    <row r="79">
      <c r="B79" s="3" t="n"/>
      <c r="C79" s="3" t="n"/>
      <c r="D79" s="3" t="n"/>
      <c r="F79" s="3" t="n"/>
      <c r="M79" s="3" t="n"/>
    </row>
    <row r="80">
      <c r="B80" s="3" t="n"/>
      <c r="C80" s="3" t="n"/>
      <c r="D80" s="3" t="n"/>
      <c r="F80" s="3" t="n"/>
      <c r="M80" s="3" t="n"/>
    </row>
    <row r="81">
      <c r="B81" s="3" t="n"/>
      <c r="C81" s="3" t="n"/>
      <c r="D81" s="3" t="n"/>
      <c r="F81" s="3" t="n"/>
      <c r="M81" s="3" t="n"/>
    </row>
    <row r="82">
      <c r="B82" s="3" t="n"/>
      <c r="C82" s="3" t="n"/>
      <c r="D82" s="3" t="n"/>
      <c r="F82" s="3" t="n"/>
      <c r="M82" s="3" t="n"/>
    </row>
    <row r="83">
      <c r="B83" s="3" t="n"/>
      <c r="C83" s="3" t="n"/>
      <c r="D83" s="3" t="n"/>
      <c r="F83" s="3" t="n"/>
      <c r="M83" s="3" t="n"/>
    </row>
    <row r="84">
      <c r="B84" s="3" t="n"/>
      <c r="C84" s="3" t="n"/>
      <c r="D84" s="3" t="n"/>
      <c r="F84" s="3" t="n"/>
      <c r="M84" s="3" t="n"/>
    </row>
    <row r="85">
      <c r="B85" s="3" t="n"/>
      <c r="C85" s="3" t="n"/>
      <c r="D85" s="3" t="n"/>
      <c r="F85" s="3" t="n"/>
      <c r="M85" s="3" t="n"/>
    </row>
    <row r="86">
      <c r="B86" s="3" t="n"/>
      <c r="C86" s="3" t="n"/>
      <c r="D86" s="3" t="n"/>
      <c r="F86" s="3" t="n"/>
      <c r="M86" s="3" t="n"/>
    </row>
    <row r="87">
      <c r="B87" s="3" t="n"/>
      <c r="C87" s="3" t="n"/>
      <c r="D87" s="3" t="n"/>
      <c r="F87" s="3" t="n"/>
      <c r="M87" s="3" t="n"/>
    </row>
    <row r="88">
      <c r="B88" s="3" t="n"/>
      <c r="C88" s="3" t="n"/>
      <c r="D88" s="3" t="n"/>
      <c r="F88" s="3" t="n"/>
      <c r="M88" s="3" t="n"/>
    </row>
    <row r="89">
      <c r="B89" s="3" t="n"/>
      <c r="C89" s="3" t="n"/>
      <c r="D89" s="3" t="n"/>
      <c r="F89" s="3" t="n"/>
      <c r="M89" s="3" t="n"/>
    </row>
    <row r="90">
      <c r="B90" s="3" t="n"/>
      <c r="C90" s="3" t="n"/>
      <c r="D90" s="3" t="n"/>
      <c r="F90" s="3" t="n"/>
      <c r="M90" s="3" t="n"/>
    </row>
    <row r="91">
      <c r="B91" s="3" t="n"/>
      <c r="C91" s="3" t="n"/>
      <c r="D91" s="3" t="n"/>
      <c r="F91" s="3" t="n"/>
      <c r="M91" s="3" t="n"/>
    </row>
    <row r="92">
      <c r="B92" s="3" t="n"/>
      <c r="C92" s="3" t="n"/>
      <c r="D92" s="3" t="n"/>
      <c r="F92" s="3" t="n"/>
      <c r="M92" s="3" t="n"/>
    </row>
    <row r="93">
      <c r="B93" s="3" t="n"/>
      <c r="C93" s="3" t="n"/>
      <c r="D93" s="3" t="n"/>
      <c r="F93" s="3" t="n"/>
      <c r="M93" s="3" t="n"/>
    </row>
    <row r="94">
      <c r="B94" s="3" t="n"/>
      <c r="C94" s="3" t="n"/>
      <c r="D94" s="3" t="n"/>
      <c r="F94" s="3" t="n"/>
      <c r="M94" s="3" t="n"/>
    </row>
    <row r="95">
      <c r="B95" s="3" t="n"/>
      <c r="C95" s="3" t="n"/>
      <c r="D95" s="3" t="n"/>
      <c r="F95" s="3" t="n"/>
      <c r="M95" s="3" t="n"/>
    </row>
    <row r="96">
      <c r="B96" s="3" t="n"/>
      <c r="C96" s="3" t="n"/>
      <c r="D96" s="3" t="n"/>
      <c r="F96" s="3" t="n"/>
      <c r="M96" s="3" t="n"/>
    </row>
    <row r="97">
      <c r="B97" s="3" t="n"/>
      <c r="C97" s="3" t="n"/>
      <c r="D97" s="3" t="n"/>
      <c r="F97" s="3" t="n"/>
      <c r="M97" s="3" t="n"/>
    </row>
    <row r="98">
      <c r="B98" s="3" t="n"/>
      <c r="C98" s="3" t="n"/>
      <c r="D98" s="3" t="n"/>
      <c r="F98" s="3" t="n"/>
      <c r="M98" s="3" t="n"/>
    </row>
    <row r="99">
      <c r="B99" s="3" t="n"/>
      <c r="C99" s="3" t="n"/>
      <c r="D99" s="3" t="n"/>
      <c r="F99" s="3" t="n"/>
      <c r="M99" s="3" t="n"/>
    </row>
    <row r="100">
      <c r="B100" s="3" t="n"/>
      <c r="C100" s="3" t="n"/>
      <c r="D100" s="3" t="n"/>
      <c r="F100" s="3" t="n"/>
      <c r="M100" s="3" t="n"/>
    </row>
    <row r="101">
      <c r="B101" s="3" t="n"/>
      <c r="C101" s="3" t="n"/>
      <c r="D101" s="3" t="n"/>
      <c r="F101" s="3" t="n"/>
      <c r="M101" s="3" t="n"/>
    </row>
    <row r="102">
      <c r="B102" s="3" t="n"/>
      <c r="C102" s="3" t="n"/>
      <c r="D102" s="3" t="n"/>
      <c r="F102" s="3" t="n"/>
      <c r="M102" s="3" t="n"/>
    </row>
    <row r="103">
      <c r="B103" s="3" t="n"/>
      <c r="C103" s="3" t="n"/>
      <c r="D103" s="3" t="n"/>
      <c r="F103" s="3" t="n"/>
      <c r="M103" s="3" t="n"/>
    </row>
    <row r="104">
      <c r="B104" s="3" t="n"/>
      <c r="C104" s="3" t="n"/>
      <c r="D104" s="3" t="n"/>
      <c r="F104" s="3" t="n"/>
      <c r="M104" s="3" t="n"/>
    </row>
    <row r="105">
      <c r="B105" s="3" t="n"/>
      <c r="C105" s="3" t="n"/>
      <c r="D105" s="3" t="n"/>
      <c r="F105" s="3" t="n"/>
      <c r="M105" s="3" t="n"/>
    </row>
    <row r="106">
      <c r="B106" s="3" t="n"/>
      <c r="C106" s="3" t="n"/>
      <c r="D106" s="3" t="n"/>
      <c r="F106" s="3" t="n"/>
      <c r="M106" s="3" t="n"/>
    </row>
    <row r="107">
      <c r="B107" s="3" t="n"/>
      <c r="C107" s="3" t="n"/>
      <c r="D107" s="3" t="n"/>
      <c r="F107" s="3" t="n"/>
      <c r="M107" s="3" t="n"/>
    </row>
    <row r="108">
      <c r="B108" s="3" t="n"/>
      <c r="C108" s="3" t="n"/>
      <c r="D108" s="3" t="n"/>
      <c r="F108" s="3" t="n"/>
      <c r="M108" s="3" t="n"/>
    </row>
    <row r="109">
      <c r="B109" s="3" t="n"/>
      <c r="C109" s="3" t="n"/>
      <c r="D109" s="3" t="n"/>
      <c r="F109" s="3" t="n"/>
      <c r="M109" s="3" t="n"/>
    </row>
    <row r="110">
      <c r="B110" s="3" t="n"/>
      <c r="C110" s="3" t="n"/>
      <c r="D110" s="3" t="n"/>
      <c r="F110" s="3" t="n"/>
      <c r="M110" s="3" t="n"/>
    </row>
    <row r="111">
      <c r="B111" s="3" t="n"/>
      <c r="C111" s="3" t="n"/>
      <c r="D111" s="3" t="n"/>
      <c r="F111" s="3" t="n"/>
      <c r="M111" s="3" t="n"/>
    </row>
    <row r="112">
      <c r="B112" s="3" t="n"/>
      <c r="C112" s="3" t="n"/>
      <c r="D112" s="3" t="n"/>
      <c r="F112" s="3" t="n"/>
      <c r="M112" s="3" t="n"/>
    </row>
    <row r="113">
      <c r="B113" s="3" t="n"/>
      <c r="C113" s="3" t="n"/>
      <c r="D113" s="3" t="n"/>
      <c r="F113" s="3" t="n"/>
      <c r="M113" s="3" t="n"/>
    </row>
    <row r="114">
      <c r="B114" s="3" t="n"/>
      <c r="C114" s="3" t="n"/>
      <c r="D114" s="3" t="n"/>
      <c r="F114" s="3" t="n"/>
      <c r="M114" s="3" t="n"/>
    </row>
    <row r="115">
      <c r="B115" s="3" t="n"/>
      <c r="C115" s="3" t="n"/>
      <c r="D115" s="3" t="n"/>
      <c r="F115" s="3" t="n"/>
      <c r="M115" s="3" t="n"/>
    </row>
    <row r="116">
      <c r="B116" s="3" t="n"/>
      <c r="C116" s="3" t="n"/>
      <c r="D116" s="3" t="n"/>
      <c r="F116" s="3" t="n"/>
      <c r="M116" s="3" t="n"/>
    </row>
    <row r="117">
      <c r="B117" s="3" t="n"/>
      <c r="C117" s="3" t="n"/>
      <c r="D117" s="3" t="n"/>
      <c r="F117" s="3" t="n"/>
      <c r="M117" s="3" t="n"/>
    </row>
    <row r="118">
      <c r="B118" s="3" t="n"/>
      <c r="C118" s="3" t="n"/>
      <c r="D118" s="3" t="n"/>
      <c r="F118" s="3" t="n"/>
      <c r="M118" s="3" t="n"/>
    </row>
    <row r="119">
      <c r="B119" s="3" t="n"/>
      <c r="C119" s="3" t="n"/>
      <c r="D119" s="3" t="n"/>
      <c r="F119" s="3" t="n"/>
      <c r="M119" s="3" t="n"/>
    </row>
    <row r="120">
      <c r="B120" s="3" t="n"/>
      <c r="C120" s="3" t="n"/>
      <c r="D120" s="3" t="n"/>
      <c r="F120" s="3" t="n"/>
      <c r="M120" s="3" t="n"/>
    </row>
    <row r="121">
      <c r="B121" s="3" t="n"/>
      <c r="C121" s="3" t="n"/>
      <c r="D121" s="3" t="n"/>
      <c r="F121" s="3" t="n"/>
      <c r="M121" s="3" t="n"/>
    </row>
    <row r="122">
      <c r="B122" s="3" t="n"/>
      <c r="C122" s="3" t="n"/>
      <c r="D122" s="3" t="n"/>
      <c r="F122" s="3" t="n"/>
      <c r="M122" s="3" t="n"/>
    </row>
    <row r="123">
      <c r="B123" s="3" t="n"/>
      <c r="C123" s="3" t="n"/>
      <c r="D123" s="3" t="n"/>
      <c r="F123" s="3" t="n"/>
      <c r="M123" s="3" t="n"/>
    </row>
    <row r="124">
      <c r="B124" s="3" t="n"/>
      <c r="C124" s="3" t="n"/>
      <c r="D124" s="3" t="n"/>
      <c r="F124" s="3" t="n"/>
      <c r="M124" s="3" t="n"/>
    </row>
    <row r="125">
      <c r="B125" s="3" t="n"/>
      <c r="C125" s="3" t="n"/>
      <c r="D125" s="3" t="n"/>
      <c r="F125" s="3" t="n"/>
      <c r="M125" s="3" t="n"/>
    </row>
    <row r="126">
      <c r="B126" s="3" t="n"/>
      <c r="C126" s="3" t="n"/>
      <c r="D126" s="3" t="n"/>
      <c r="F126" s="3" t="n"/>
      <c r="M126" s="3" t="n"/>
    </row>
    <row r="127">
      <c r="B127" s="3" t="n"/>
      <c r="C127" s="3" t="n"/>
      <c r="D127" s="3" t="n"/>
      <c r="F127" s="3" t="n"/>
      <c r="M127" s="3" t="n"/>
    </row>
    <row r="128">
      <c r="B128" s="3" t="n"/>
      <c r="C128" s="3" t="n"/>
      <c r="D128" s="3" t="n"/>
      <c r="F128" s="3" t="n"/>
      <c r="M128" s="3" t="n"/>
    </row>
    <row r="129">
      <c r="B129" s="3" t="n"/>
      <c r="C129" s="3" t="n"/>
      <c r="D129" s="3" t="n"/>
      <c r="F129" s="3" t="n"/>
      <c r="M129" s="3" t="n"/>
    </row>
    <row r="130">
      <c r="B130" s="3" t="n"/>
      <c r="C130" s="3" t="n"/>
      <c r="D130" s="3" t="n"/>
      <c r="F130" s="3" t="n"/>
      <c r="M130" s="3" t="n"/>
    </row>
    <row r="131">
      <c r="B131" s="3" t="n"/>
      <c r="C131" s="3" t="n"/>
      <c r="D131" s="3" t="n"/>
      <c r="F131" s="3" t="n"/>
      <c r="M131" s="3" t="n"/>
    </row>
    <row r="132">
      <c r="B132" s="3" t="n"/>
      <c r="C132" s="3" t="n"/>
      <c r="D132" s="3" t="n"/>
      <c r="F132" s="3" t="n"/>
      <c r="M132" s="3" t="n"/>
    </row>
    <row r="133">
      <c r="B133" s="3" t="n"/>
      <c r="C133" s="3" t="n"/>
      <c r="D133" s="3" t="n"/>
      <c r="F133" s="3" t="n"/>
      <c r="M133" s="3" t="n"/>
    </row>
    <row r="134">
      <c r="B134" s="3" t="n"/>
      <c r="C134" s="3" t="n"/>
      <c r="D134" s="3" t="n"/>
      <c r="F134" s="3" t="n"/>
      <c r="M134" s="3" t="n"/>
    </row>
    <row r="135">
      <c r="B135" s="3" t="n"/>
      <c r="C135" s="3" t="n"/>
      <c r="D135" s="3" t="n"/>
      <c r="F135" s="3" t="n"/>
      <c r="M135" s="3" t="n"/>
    </row>
    <row r="136">
      <c r="B136" s="3" t="n"/>
      <c r="C136" s="3" t="n"/>
      <c r="D136" s="3" t="n"/>
      <c r="F136" s="3" t="n"/>
      <c r="M136" s="3" t="n"/>
    </row>
    <row r="137">
      <c r="B137" s="3" t="n"/>
      <c r="C137" s="3" t="n"/>
      <c r="D137" s="3" t="n"/>
      <c r="F137" s="3" t="n"/>
      <c r="M137" s="3" t="n"/>
    </row>
    <row r="138">
      <c r="B138" s="3" t="n"/>
      <c r="C138" s="3" t="n"/>
      <c r="D138" s="3" t="n"/>
      <c r="F138" s="3" t="n"/>
      <c r="M138" s="3" t="n"/>
    </row>
    <row r="139">
      <c r="B139" s="3" t="n"/>
      <c r="C139" s="3" t="n"/>
      <c r="D139" s="3" t="n"/>
      <c r="F139" s="3" t="n"/>
      <c r="M139" s="3" t="n"/>
    </row>
    <row r="140">
      <c r="B140" s="3" t="n"/>
      <c r="C140" s="3" t="n"/>
      <c r="D140" s="3" t="n"/>
      <c r="F140" s="3" t="n"/>
      <c r="M140" s="3" t="n"/>
    </row>
    <row r="141">
      <c r="B141" s="3" t="n"/>
      <c r="C141" s="3" t="n"/>
      <c r="D141" s="3" t="n"/>
      <c r="F141" s="3" t="n"/>
      <c r="M141" s="3" t="n"/>
    </row>
    <row r="142">
      <c r="B142" s="3" t="n"/>
      <c r="C142" s="3" t="n"/>
      <c r="D142" s="3" t="n"/>
      <c r="F142" s="3" t="n"/>
      <c r="M142" s="3" t="n"/>
    </row>
    <row r="143">
      <c r="B143" s="3" t="n"/>
      <c r="C143" s="3" t="n"/>
      <c r="D143" s="3" t="n"/>
      <c r="F143" s="3" t="n"/>
      <c r="M143" s="3" t="n"/>
    </row>
    <row r="144">
      <c r="B144" s="3" t="n"/>
      <c r="C144" s="3" t="n"/>
      <c r="D144" s="3" t="n"/>
      <c r="F144" s="3" t="n"/>
      <c r="M144" s="3" t="n"/>
    </row>
    <row r="145">
      <c r="B145" s="3" t="n"/>
      <c r="C145" s="3" t="n"/>
      <c r="D145" s="3" t="n"/>
      <c r="F145" s="3" t="n"/>
      <c r="M145" s="3" t="n"/>
    </row>
    <row r="146">
      <c r="B146" s="3" t="n"/>
      <c r="C146" s="3" t="n"/>
      <c r="D146" s="3" t="n"/>
      <c r="F146" s="3" t="n"/>
      <c r="M146" s="3" t="n"/>
    </row>
    <row r="147">
      <c r="B147" s="3" t="n"/>
      <c r="C147" s="3" t="n"/>
      <c r="D147" s="3" t="n"/>
      <c r="F147" s="3" t="n"/>
      <c r="M147" s="3" t="n"/>
    </row>
    <row r="148">
      <c r="B148" s="3" t="n"/>
      <c r="C148" s="3" t="n"/>
      <c r="D148" s="3" t="n"/>
      <c r="F148" s="3" t="n"/>
      <c r="M148" s="3" t="n"/>
    </row>
    <row r="149">
      <c r="B149" s="3" t="n"/>
      <c r="C149" s="3" t="n"/>
      <c r="D149" s="3" t="n"/>
      <c r="F149" s="3" t="n"/>
      <c r="M149" s="3" t="n"/>
    </row>
    <row r="150">
      <c r="B150" s="3" t="n"/>
      <c r="C150" s="3" t="n"/>
      <c r="D150" s="3" t="n"/>
      <c r="F150" s="3" t="n"/>
      <c r="M150" s="3" t="n"/>
    </row>
    <row r="151">
      <c r="B151" s="3" t="n"/>
      <c r="C151" s="3" t="n"/>
      <c r="D151" s="3" t="n"/>
      <c r="F151" s="3" t="n"/>
      <c r="M151" s="3" t="n"/>
    </row>
    <row r="152">
      <c r="B152" s="3" t="n"/>
      <c r="C152" s="3" t="n"/>
      <c r="D152" s="3" t="n"/>
      <c r="F152" s="3" t="n"/>
      <c r="M152" s="3" t="n"/>
    </row>
    <row r="153">
      <c r="B153" s="3" t="n"/>
      <c r="C153" s="3" t="n"/>
      <c r="D153" s="3" t="n"/>
      <c r="F153" s="3" t="n"/>
      <c r="M153" s="3" t="n"/>
    </row>
    <row r="154">
      <c r="B154" s="3" t="n"/>
      <c r="C154" s="3" t="n"/>
      <c r="D154" s="3" t="n"/>
      <c r="F154" s="3" t="n"/>
      <c r="M154" s="3" t="n"/>
    </row>
    <row r="155">
      <c r="B155" s="3" t="n"/>
      <c r="C155" s="3" t="n"/>
      <c r="D155" s="3" t="n"/>
      <c r="F155" s="3" t="n"/>
      <c r="M155" s="3" t="n"/>
    </row>
    <row r="156">
      <c r="B156" s="3" t="n"/>
      <c r="C156" s="3" t="n"/>
      <c r="D156" s="3" t="n"/>
      <c r="F156" s="3" t="n"/>
      <c r="M156" s="3" t="n"/>
    </row>
    <row r="157">
      <c r="B157" s="3" t="n"/>
      <c r="C157" s="3" t="n"/>
      <c r="D157" s="3" t="n"/>
      <c r="F157" s="3" t="n"/>
      <c r="M157" s="3" t="n"/>
    </row>
    <row r="158">
      <c r="B158" s="3" t="n"/>
      <c r="C158" s="3" t="n"/>
      <c r="D158" s="3" t="n"/>
      <c r="F158" s="3" t="n"/>
      <c r="M158" s="3" t="n"/>
    </row>
    <row r="159">
      <c r="B159" s="3" t="n"/>
      <c r="C159" s="3" t="n"/>
      <c r="D159" s="3" t="n"/>
      <c r="F159" s="3" t="n"/>
      <c r="M159" s="3" t="n"/>
    </row>
    <row r="160">
      <c r="B160" s="3" t="n"/>
      <c r="C160" s="3" t="n"/>
      <c r="D160" s="3" t="n"/>
      <c r="F160" s="3" t="n"/>
      <c r="M160" s="3" t="n"/>
    </row>
    <row r="161">
      <c r="B161" s="3" t="n"/>
      <c r="C161" s="3" t="n"/>
      <c r="D161" s="3" t="n"/>
      <c r="F161" s="3" t="n"/>
      <c r="M161" s="3" t="n"/>
    </row>
    <row r="162">
      <c r="B162" s="3" t="n"/>
      <c r="C162" s="3" t="n"/>
      <c r="D162" s="3" t="n"/>
      <c r="F162" s="3" t="n"/>
      <c r="M162" s="3" t="n"/>
    </row>
    <row r="163">
      <c r="B163" s="3" t="n"/>
      <c r="C163" s="3" t="n"/>
      <c r="D163" s="3" t="n"/>
      <c r="F163" s="3" t="n"/>
      <c r="M163" s="3" t="n"/>
    </row>
    <row r="164">
      <c r="B164" s="3" t="n"/>
      <c r="C164" s="3" t="n"/>
      <c r="D164" s="3" t="n"/>
      <c r="F164" s="3" t="n"/>
      <c r="M164" s="3" t="n"/>
    </row>
    <row r="165">
      <c r="B165" s="3" t="n"/>
      <c r="C165" s="3" t="n"/>
      <c r="D165" s="3" t="n"/>
      <c r="F165" s="3" t="n"/>
      <c r="M165" s="3" t="n"/>
    </row>
    <row r="166">
      <c r="B166" s="3" t="n"/>
      <c r="C166" s="3" t="n"/>
      <c r="D166" s="3" t="n"/>
      <c r="F166" s="3" t="n"/>
      <c r="M166" s="3" t="n"/>
    </row>
    <row r="167">
      <c r="B167" s="3" t="n"/>
      <c r="C167" s="3" t="n"/>
      <c r="D167" s="3" t="n"/>
      <c r="F167" s="3" t="n"/>
      <c r="M167" s="3" t="n"/>
    </row>
    <row r="168">
      <c r="B168" s="3" t="n"/>
      <c r="C168" s="3" t="n"/>
      <c r="D168" s="3" t="n"/>
      <c r="F168" s="3" t="n"/>
      <c r="M168" s="3" t="n"/>
    </row>
    <row r="169">
      <c r="B169" s="3" t="n"/>
      <c r="C169" s="3" t="n"/>
      <c r="D169" s="3" t="n"/>
      <c r="F169" s="3" t="n"/>
      <c r="M169" s="3" t="n"/>
    </row>
    <row r="170">
      <c r="B170" s="3" t="n"/>
      <c r="C170" s="3" t="n"/>
      <c r="D170" s="3" t="n"/>
      <c r="F170" s="3" t="n"/>
      <c r="M170" s="3" t="n"/>
    </row>
    <row r="171">
      <c r="B171" s="3" t="n"/>
      <c r="C171" s="3" t="n"/>
      <c r="D171" s="3" t="n"/>
      <c r="F171" s="3" t="n"/>
      <c r="M171" s="3" t="n"/>
    </row>
    <row r="172">
      <c r="B172" s="3" t="n"/>
      <c r="C172" s="3" t="n"/>
      <c r="D172" s="3" t="n"/>
      <c r="F172" s="3" t="n"/>
      <c r="M172" s="3" t="n"/>
    </row>
    <row r="173">
      <c r="B173" s="3" t="n"/>
      <c r="C173" s="3" t="n"/>
      <c r="D173" s="3" t="n"/>
      <c r="F173" s="3" t="n"/>
      <c r="M173" s="3" t="n"/>
    </row>
    <row r="174">
      <c r="B174" s="3" t="n"/>
      <c r="C174" s="3" t="n"/>
      <c r="D174" s="3" t="n"/>
      <c r="F174" s="3" t="n"/>
      <c r="M174" s="3" t="n"/>
    </row>
    <row r="175">
      <c r="B175" s="3" t="n"/>
      <c r="C175" s="3" t="n"/>
      <c r="D175" s="3" t="n"/>
      <c r="F175" s="3" t="n"/>
      <c r="M175" s="3" t="n"/>
    </row>
    <row r="176">
      <c r="B176" s="3" t="n"/>
      <c r="C176" s="3" t="n"/>
      <c r="D176" s="3" t="n"/>
      <c r="F176" s="3" t="n"/>
      <c r="M176" s="3" t="n"/>
    </row>
    <row r="177">
      <c r="B177" s="3" t="n"/>
      <c r="C177" s="3" t="n"/>
      <c r="D177" s="3" t="n"/>
      <c r="F177" s="3" t="n"/>
      <c r="M177" s="3" t="n"/>
    </row>
    <row r="178">
      <c r="B178" s="3" t="n"/>
      <c r="C178" s="3" t="n"/>
      <c r="D178" s="3" t="n"/>
      <c r="F178" s="3" t="n"/>
      <c r="M178" s="3" t="n"/>
    </row>
    <row r="179">
      <c r="B179" s="3" t="n"/>
      <c r="C179" s="3" t="n"/>
      <c r="D179" s="3" t="n"/>
      <c r="F179" s="3" t="n"/>
      <c r="M179" s="3" t="n"/>
    </row>
    <row r="180">
      <c r="B180" s="3" t="n"/>
      <c r="C180" s="3" t="n"/>
      <c r="D180" s="3" t="n"/>
      <c r="F180" s="3" t="n"/>
      <c r="M180" s="3" t="n"/>
    </row>
    <row r="181">
      <c r="B181" s="3" t="n"/>
      <c r="C181" s="3" t="n"/>
      <c r="D181" s="3" t="n"/>
      <c r="F181" s="3" t="n"/>
      <c r="M181" s="3" t="n"/>
    </row>
    <row r="182">
      <c r="B182" s="3" t="n"/>
      <c r="C182" s="3" t="n"/>
      <c r="D182" s="3" t="n"/>
      <c r="F182" s="3" t="n"/>
      <c r="M182" s="3" t="n"/>
    </row>
    <row r="183">
      <c r="B183" s="3" t="n"/>
      <c r="C183" s="3" t="n"/>
      <c r="D183" s="3" t="n"/>
      <c r="F183" s="3" t="n"/>
      <c r="M183" s="3" t="n"/>
    </row>
    <row r="184">
      <c r="B184" s="3" t="n"/>
      <c r="C184" s="3" t="n"/>
      <c r="D184" s="3" t="n"/>
      <c r="F184" s="3" t="n"/>
      <c r="M184" s="3" t="n"/>
    </row>
    <row r="185">
      <c r="B185" s="3" t="n"/>
      <c r="C185" s="3" t="n"/>
      <c r="D185" s="3" t="n"/>
      <c r="F185" s="3" t="n"/>
      <c r="M185" s="3" t="n"/>
    </row>
    <row r="186">
      <c r="B186" s="3" t="n"/>
      <c r="C186" s="3" t="n"/>
      <c r="D186" s="3" t="n"/>
      <c r="F186" s="3" t="n"/>
      <c r="M186" s="3" t="n"/>
    </row>
    <row r="187">
      <c r="B187" s="3" t="n"/>
      <c r="C187" s="3" t="n"/>
      <c r="D187" s="3" t="n"/>
      <c r="F187" s="3" t="n"/>
      <c r="M187" s="3" t="n"/>
    </row>
    <row r="188">
      <c r="B188" s="3" t="n"/>
      <c r="C188" s="3" t="n"/>
      <c r="D188" s="3" t="n"/>
      <c r="F188" s="3" t="n"/>
      <c r="M188" s="3" t="n"/>
    </row>
    <row r="189">
      <c r="B189" s="3" t="n"/>
      <c r="C189" s="3" t="n"/>
      <c r="D189" s="3" t="n"/>
      <c r="F189" s="3" t="n"/>
      <c r="M189" s="3" t="n"/>
    </row>
    <row r="190">
      <c r="B190" s="3" t="n"/>
      <c r="C190" s="3" t="n"/>
      <c r="D190" s="3" t="n"/>
      <c r="F190" s="3" t="n"/>
      <c r="M190" s="3" t="n"/>
    </row>
    <row r="191">
      <c r="B191" s="3" t="n"/>
      <c r="C191" s="3" t="n"/>
      <c r="D191" s="3" t="n"/>
      <c r="F191" s="3" t="n"/>
      <c r="M191" s="3" t="n"/>
    </row>
    <row r="192">
      <c r="B192" s="3" t="n"/>
      <c r="C192" s="3" t="n"/>
      <c r="D192" s="3" t="n"/>
      <c r="F192" s="3" t="n"/>
      <c r="M192" s="3" t="n"/>
    </row>
    <row r="193">
      <c r="B193" s="3" t="n"/>
      <c r="C193" s="3" t="n"/>
      <c r="D193" s="3" t="n"/>
      <c r="F193" s="3" t="n"/>
      <c r="M193" s="3" t="n"/>
    </row>
    <row r="194">
      <c r="B194" s="3" t="n"/>
      <c r="C194" s="3" t="n"/>
      <c r="D194" s="3" t="n"/>
      <c r="F194" s="3" t="n"/>
      <c r="M194" s="3" t="n"/>
    </row>
    <row r="195">
      <c r="B195" s="3" t="n"/>
      <c r="C195" s="3" t="n"/>
      <c r="D195" s="3" t="n"/>
      <c r="F195" s="3" t="n"/>
      <c r="M195" s="3" t="n"/>
    </row>
    <row r="196">
      <c r="B196" s="3" t="n"/>
      <c r="C196" s="3" t="n"/>
      <c r="D196" s="3" t="n"/>
      <c r="F196" s="3" t="n"/>
      <c r="M196" s="3" t="n"/>
    </row>
    <row r="197">
      <c r="B197" s="3" t="n"/>
      <c r="C197" s="3" t="n"/>
      <c r="D197" s="3" t="n"/>
      <c r="F197" s="3" t="n"/>
      <c r="M197" s="3" t="n"/>
    </row>
    <row r="198">
      <c r="B198" s="3" t="n"/>
      <c r="C198" s="3" t="n"/>
      <c r="D198" s="3" t="n"/>
      <c r="F198" s="3" t="n"/>
      <c r="M198" s="3" t="n"/>
    </row>
    <row r="199">
      <c r="B199" s="3" t="n"/>
      <c r="C199" s="3" t="n"/>
      <c r="D199" s="3" t="n"/>
      <c r="F199" s="3" t="n"/>
      <c r="M199" s="3" t="n"/>
    </row>
    <row r="200">
      <c r="B200" s="3" t="n"/>
      <c r="C200" s="3" t="n"/>
      <c r="D200" s="3" t="n"/>
      <c r="F200" s="3" t="n"/>
      <c r="M200" s="3" t="n"/>
    </row>
    <row r="201">
      <c r="B201" s="3" t="n"/>
      <c r="C201" s="3" t="n"/>
      <c r="D201" s="3" t="n"/>
      <c r="F201" s="3" t="n"/>
      <c r="M201" s="3" t="n"/>
    </row>
    <row r="202">
      <c r="B202" s="3" t="n"/>
      <c r="C202" s="3" t="n"/>
      <c r="D202" s="3" t="n"/>
      <c r="F202" s="3" t="n"/>
      <c r="M202" s="3" t="n"/>
    </row>
    <row r="203">
      <c r="B203" s="3" t="n"/>
      <c r="C203" s="3" t="n"/>
      <c r="D203" s="3" t="n"/>
      <c r="F203" s="3" t="n"/>
      <c r="M203" s="3" t="n"/>
    </row>
    <row r="204">
      <c r="B204" s="3" t="n"/>
      <c r="C204" s="3" t="n"/>
      <c r="D204" s="3" t="n"/>
      <c r="F204" s="3" t="n"/>
      <c r="M204" s="3" t="n"/>
    </row>
    <row r="205">
      <c r="B205" s="3" t="n"/>
      <c r="C205" s="3" t="n"/>
      <c r="D205" s="3" t="n"/>
      <c r="F205" s="3" t="n"/>
      <c r="M205" s="3" t="n"/>
    </row>
    <row r="206">
      <c r="B206" s="3" t="n"/>
      <c r="C206" s="3" t="n"/>
      <c r="D206" s="3" t="n"/>
      <c r="F206" s="3" t="n"/>
      <c r="M206" s="3" t="n"/>
    </row>
    <row r="207">
      <c r="B207" s="3" t="n"/>
      <c r="C207" s="3" t="n"/>
      <c r="D207" s="3" t="n"/>
      <c r="F207" s="3" t="n"/>
      <c r="M207" s="3" t="n"/>
    </row>
    <row r="208">
      <c r="B208" s="3" t="n"/>
      <c r="C208" s="3" t="n"/>
      <c r="D208" s="3" t="n"/>
      <c r="F208" s="3" t="n"/>
      <c r="M208" s="3" t="n"/>
    </row>
    <row r="209">
      <c r="B209" s="3" t="n"/>
      <c r="C209" s="3" t="n"/>
      <c r="D209" s="3" t="n"/>
      <c r="F209" s="3" t="n"/>
      <c r="M209" s="3" t="n"/>
    </row>
    <row r="210">
      <c r="B210" s="3" t="n"/>
      <c r="C210" s="3" t="n"/>
      <c r="D210" s="3" t="n"/>
      <c r="F210" s="3" t="n"/>
      <c r="M210" s="3" t="n"/>
    </row>
    <row r="211">
      <c r="B211" s="3" t="n"/>
      <c r="C211" s="3" t="n"/>
      <c r="D211" s="3" t="n"/>
      <c r="F211" s="3" t="n"/>
      <c r="M211" s="3" t="n"/>
    </row>
    <row r="212">
      <c r="B212" s="3" t="n"/>
      <c r="C212" s="3" t="n"/>
      <c r="D212" s="3" t="n"/>
      <c r="F212" s="3" t="n"/>
      <c r="M212" s="3" t="n"/>
    </row>
    <row r="213">
      <c r="B213" s="3" t="n"/>
      <c r="C213" s="3" t="n"/>
      <c r="D213" s="3" t="n"/>
      <c r="F213" s="3" t="n"/>
      <c r="M213" s="3" t="n"/>
    </row>
    <row r="214">
      <c r="B214" s="3" t="n"/>
      <c r="C214" s="3" t="n"/>
      <c r="D214" s="3" t="n"/>
      <c r="F214" s="3" t="n"/>
      <c r="M214" s="3" t="n"/>
    </row>
    <row r="215">
      <c r="B215" s="3" t="n"/>
      <c r="C215" s="3" t="n"/>
      <c r="D215" s="3" t="n"/>
      <c r="F215" s="3" t="n"/>
      <c r="M215" s="3" t="n"/>
    </row>
    <row r="216">
      <c r="B216" s="3" t="n"/>
      <c r="C216" s="3" t="n"/>
      <c r="D216" s="3" t="n"/>
      <c r="F216" s="3" t="n"/>
      <c r="M216" s="3" t="n"/>
    </row>
    <row r="217">
      <c r="B217" s="3" t="n"/>
      <c r="C217" s="3" t="n"/>
      <c r="D217" s="3" t="n"/>
      <c r="F217" s="3" t="n"/>
      <c r="M217" s="3" t="n"/>
    </row>
    <row r="218">
      <c r="B218" s="3" t="n"/>
      <c r="C218" s="3" t="n"/>
      <c r="D218" s="3" t="n"/>
      <c r="F218" s="3" t="n"/>
      <c r="M218" s="3" t="n"/>
    </row>
    <row r="219">
      <c r="B219" s="3" t="n"/>
      <c r="C219" s="3" t="n"/>
      <c r="D219" s="3" t="n"/>
      <c r="F219" s="3" t="n"/>
      <c r="M219" s="3" t="n"/>
    </row>
    <row r="220">
      <c r="B220" s="3" t="n"/>
      <c r="C220" s="3" t="n"/>
      <c r="D220" s="3" t="n"/>
      <c r="F220" s="3" t="n"/>
      <c r="M220" s="3" t="n"/>
    </row>
    <row r="221">
      <c r="B221" s="3" t="n"/>
      <c r="C221" s="3" t="n"/>
      <c r="D221" s="3" t="n"/>
      <c r="F221" s="3" t="n"/>
      <c r="M221" s="3" t="n"/>
    </row>
    <row r="222">
      <c r="B222" s="3" t="n"/>
      <c r="C222" s="3" t="n"/>
      <c r="D222" s="3" t="n"/>
      <c r="F222" s="3" t="n"/>
      <c r="M222" s="3" t="n"/>
    </row>
    <row r="223">
      <c r="B223" s="3" t="n"/>
      <c r="C223" s="3" t="n"/>
      <c r="D223" s="3" t="n"/>
      <c r="F223" s="3" t="n"/>
      <c r="M223" s="3" t="n"/>
    </row>
    <row r="224">
      <c r="B224" s="3" t="n"/>
      <c r="C224" s="3" t="n"/>
      <c r="D224" s="3" t="n"/>
      <c r="F224" s="3" t="n"/>
      <c r="M224" s="3" t="n"/>
    </row>
    <row r="225">
      <c r="B225" s="3" t="n"/>
      <c r="C225" s="3" t="n"/>
      <c r="D225" s="3" t="n"/>
      <c r="F225" s="3" t="n"/>
      <c r="M225" s="3" t="n"/>
    </row>
    <row r="226">
      <c r="B226" s="3" t="n"/>
      <c r="C226" s="3" t="n"/>
      <c r="D226" s="3" t="n"/>
      <c r="F226" s="3" t="n"/>
      <c r="M226" s="3" t="n"/>
    </row>
    <row r="227">
      <c r="B227" s="3" t="n"/>
      <c r="C227" s="3" t="n"/>
      <c r="D227" s="3" t="n"/>
      <c r="F227" s="3" t="n"/>
      <c r="M227" s="3" t="n"/>
    </row>
    <row r="228">
      <c r="B228" s="3" t="n"/>
      <c r="C228" s="3" t="n"/>
      <c r="D228" s="3" t="n"/>
      <c r="F228" s="3" t="n"/>
      <c r="M228" s="3" t="n"/>
    </row>
    <row r="229">
      <c r="B229" s="3" t="n"/>
      <c r="C229" s="3" t="n"/>
      <c r="D229" s="3" t="n"/>
      <c r="F229" s="3" t="n"/>
      <c r="M229" s="3" t="n"/>
    </row>
    <row r="230">
      <c r="B230" s="3" t="n"/>
      <c r="C230" s="3" t="n"/>
      <c r="D230" s="3" t="n"/>
      <c r="F230" s="3" t="n"/>
      <c r="M230" s="3" t="n"/>
    </row>
    <row r="231">
      <c r="B231" s="3" t="n"/>
      <c r="C231" s="3" t="n"/>
      <c r="D231" s="3" t="n"/>
      <c r="F231" s="3" t="n"/>
      <c r="M231" s="3" t="n"/>
    </row>
    <row r="232">
      <c r="B232" s="3" t="n"/>
      <c r="C232" s="3" t="n"/>
      <c r="D232" s="3" t="n"/>
      <c r="F232" s="3" t="n"/>
      <c r="M232" s="3" t="n"/>
    </row>
    <row r="233">
      <c r="B233" s="3" t="n"/>
      <c r="C233" s="3" t="n"/>
      <c r="D233" s="3" t="n"/>
      <c r="F233" s="3" t="n"/>
      <c r="M233" s="3" t="n"/>
    </row>
    <row r="234">
      <c r="B234" s="3" t="n"/>
      <c r="C234" s="3" t="n"/>
      <c r="D234" s="3" t="n"/>
      <c r="F234" s="3" t="n"/>
      <c r="M234" s="3" t="n"/>
    </row>
    <row r="235">
      <c r="B235" s="3" t="n"/>
      <c r="C235" s="3" t="n"/>
      <c r="D235" s="3" t="n"/>
      <c r="F235" s="3" t="n"/>
      <c r="M235" s="3" t="n"/>
    </row>
    <row r="236">
      <c r="B236" s="3" t="n"/>
      <c r="C236" s="3" t="n"/>
      <c r="D236" s="3" t="n"/>
      <c r="F236" s="3" t="n"/>
      <c r="M236" s="3" t="n"/>
    </row>
    <row r="237">
      <c r="B237" s="3" t="n"/>
      <c r="C237" s="3" t="n"/>
      <c r="D237" s="3" t="n"/>
      <c r="F237" s="3" t="n"/>
      <c r="M237" s="3" t="n"/>
    </row>
    <row r="238">
      <c r="B238" s="3" t="n"/>
      <c r="C238" s="3" t="n"/>
      <c r="D238" s="3" t="n"/>
      <c r="F238" s="3" t="n"/>
      <c r="M238" s="3" t="n"/>
    </row>
    <row r="239">
      <c r="B239" s="3" t="n"/>
      <c r="C239" s="3" t="n"/>
      <c r="D239" s="3" t="n"/>
      <c r="F239" s="3" t="n"/>
      <c r="M239" s="3" t="n"/>
    </row>
    <row r="240">
      <c r="B240" s="3" t="n"/>
      <c r="C240" s="3" t="n"/>
      <c r="D240" s="3" t="n"/>
      <c r="F240" s="3" t="n"/>
      <c r="M240" s="3" t="n"/>
    </row>
    <row r="241">
      <c r="B241" s="3" t="n"/>
      <c r="C241" s="3" t="n"/>
      <c r="D241" s="3" t="n"/>
      <c r="F241" s="3" t="n"/>
      <c r="M241" s="3" t="n"/>
    </row>
    <row r="242">
      <c r="B242" s="3" t="n"/>
      <c r="C242" s="3" t="n"/>
      <c r="D242" s="3" t="n"/>
      <c r="F242" s="3" t="n"/>
      <c r="M242" s="3" t="n"/>
    </row>
    <row r="243">
      <c r="B243" s="3" t="n"/>
      <c r="C243" s="3" t="n"/>
      <c r="D243" s="3" t="n"/>
      <c r="F243" s="3" t="n"/>
      <c r="M243" s="3" t="n"/>
    </row>
    <row r="244">
      <c r="B244" s="3" t="n"/>
      <c r="C244" s="3" t="n"/>
      <c r="D244" s="3" t="n"/>
      <c r="F244" s="3" t="n"/>
      <c r="M244" s="3" t="n"/>
    </row>
    <row r="245">
      <c r="B245" s="3" t="n"/>
      <c r="C245" s="3" t="n"/>
      <c r="D245" s="3" t="n"/>
      <c r="F245" s="3" t="n"/>
      <c r="M245" s="3" t="n"/>
    </row>
    <row r="246">
      <c r="B246" s="3" t="n"/>
      <c r="C246" s="3" t="n"/>
      <c r="D246" s="3" t="n"/>
      <c r="F246" s="3" t="n"/>
      <c r="M246" s="3" t="n"/>
    </row>
    <row r="247">
      <c r="B247" s="3" t="n"/>
      <c r="C247" s="3" t="n"/>
      <c r="D247" s="3" t="n"/>
      <c r="F247" s="3" t="n"/>
      <c r="M247" s="3" t="n"/>
    </row>
    <row r="248">
      <c r="B248" s="3" t="n"/>
      <c r="C248" s="3" t="n"/>
      <c r="D248" s="3" t="n"/>
      <c r="F248" s="3" t="n"/>
      <c r="M248" s="3" t="n"/>
    </row>
    <row r="249">
      <c r="B249" s="3" t="n"/>
      <c r="C249" s="3" t="n"/>
      <c r="D249" s="3" t="n"/>
      <c r="F249" s="3" t="n"/>
      <c r="M249" s="3" t="n"/>
    </row>
    <row r="250">
      <c r="B250" s="3" t="n"/>
      <c r="C250" s="3" t="n"/>
      <c r="D250" s="3" t="n"/>
      <c r="F250" s="3" t="n"/>
      <c r="M250" s="3" t="n"/>
    </row>
    <row r="251">
      <c r="B251" s="3" t="n"/>
      <c r="C251" s="3" t="n"/>
      <c r="D251" s="3" t="n"/>
      <c r="F251" s="3" t="n"/>
      <c r="M251" s="3" t="n"/>
    </row>
    <row r="252">
      <c r="B252" s="3" t="n"/>
      <c r="C252" s="3" t="n"/>
      <c r="D252" s="3" t="n"/>
      <c r="F252" s="3" t="n"/>
      <c r="M252" s="3" t="n"/>
    </row>
    <row r="253">
      <c r="B253" s="3" t="n"/>
      <c r="C253" s="3" t="n"/>
      <c r="D253" s="3" t="n"/>
      <c r="F253" s="3" t="n"/>
      <c r="M253" s="3" t="n"/>
    </row>
    <row r="254">
      <c r="B254" s="3" t="n"/>
      <c r="C254" s="3" t="n"/>
      <c r="D254" s="3" t="n"/>
      <c r="F254" s="3" t="n"/>
      <c r="M254" s="3" t="n"/>
    </row>
    <row r="255">
      <c r="B255" s="3" t="n"/>
      <c r="C255" s="3" t="n"/>
      <c r="D255" s="3" t="n"/>
      <c r="F255" s="3" t="n"/>
      <c r="M255" s="3" t="n"/>
    </row>
    <row r="256">
      <c r="B256" s="3" t="n"/>
      <c r="C256" s="3" t="n"/>
      <c r="D256" s="3" t="n"/>
      <c r="F256" s="3" t="n"/>
      <c r="M256" s="3" t="n"/>
    </row>
    <row r="257">
      <c r="B257" s="3" t="n"/>
      <c r="C257" s="3" t="n"/>
      <c r="D257" s="3" t="n"/>
      <c r="F257" s="3" t="n"/>
      <c r="M257" s="3" t="n"/>
    </row>
    <row r="258">
      <c r="B258" s="3" t="n"/>
      <c r="C258" s="3" t="n"/>
      <c r="D258" s="3" t="n"/>
      <c r="F258" s="3" t="n"/>
      <c r="M258" s="3" t="n"/>
    </row>
    <row r="259">
      <c r="B259" s="3" t="n"/>
      <c r="C259" s="3" t="n"/>
      <c r="D259" s="3" t="n"/>
      <c r="F259" s="3" t="n"/>
      <c r="M259" s="3" t="n"/>
    </row>
    <row r="260">
      <c r="B260" s="3" t="n"/>
      <c r="C260" s="3" t="n"/>
      <c r="D260" s="3" t="n"/>
      <c r="F260" s="3" t="n"/>
      <c r="M260" s="3" t="n"/>
    </row>
    <row r="261">
      <c r="B261" s="3" t="n"/>
      <c r="C261" s="3" t="n"/>
      <c r="D261" s="3" t="n"/>
      <c r="F261" s="3" t="n"/>
      <c r="M261" s="3" t="n"/>
    </row>
    <row r="262">
      <c r="B262" s="3" t="n"/>
      <c r="C262" s="3" t="n"/>
      <c r="D262" s="3" t="n"/>
      <c r="F262" s="3" t="n"/>
      <c r="M262" s="3" t="n"/>
    </row>
    <row r="263">
      <c r="B263" s="3" t="n"/>
      <c r="C263" s="3" t="n"/>
      <c r="D263" s="3" t="n"/>
      <c r="F263" s="3" t="n"/>
      <c r="M263" s="3" t="n"/>
    </row>
    <row r="264">
      <c r="B264" s="3" t="n"/>
      <c r="C264" s="3" t="n"/>
      <c r="D264" s="3" t="n"/>
      <c r="F264" s="3" t="n"/>
      <c r="M264" s="3" t="n"/>
    </row>
    <row r="265">
      <c r="B265" s="3" t="n"/>
      <c r="C265" s="3" t="n"/>
      <c r="D265" s="3" t="n"/>
      <c r="F265" s="3" t="n"/>
      <c r="M265" s="3" t="n"/>
    </row>
    <row r="266">
      <c r="B266" s="3" t="n"/>
      <c r="C266" s="3" t="n"/>
      <c r="D266" s="3" t="n"/>
      <c r="F266" s="3" t="n"/>
      <c r="M266" s="3" t="n"/>
    </row>
    <row r="267">
      <c r="B267" s="3" t="n"/>
      <c r="C267" s="3" t="n"/>
      <c r="D267" s="3" t="n"/>
      <c r="F267" s="3" t="n"/>
      <c r="M267" s="3" t="n"/>
    </row>
  </sheetData>
  <mergeCells count="25">
    <mergeCell ref="G8:G9"/>
    <mergeCell ref="Q8:Q9"/>
    <mergeCell ref="B8:B9"/>
    <mergeCell ref="S8:S9"/>
    <mergeCell ref="F8:F9"/>
    <mergeCell ref="L8:L9"/>
    <mergeCell ref="N8:N9"/>
    <mergeCell ref="Z8:Z9"/>
    <mergeCell ref="P8:P9"/>
    <mergeCell ref="T8:T9"/>
    <mergeCell ref="A8:A9"/>
    <mergeCell ref="C8:C9"/>
    <mergeCell ref="I8:I9"/>
    <mergeCell ref="U8:U9"/>
    <mergeCell ref="K8:K9"/>
    <mergeCell ref="M8:M9"/>
    <mergeCell ref="W8:W9"/>
    <mergeCell ref="O8:O9"/>
    <mergeCell ref="D8:D9"/>
    <mergeCell ref="Y8:Y9"/>
    <mergeCell ref="H8:H9"/>
    <mergeCell ref="J8:J9"/>
    <mergeCell ref="V8:V9"/>
    <mergeCell ref="R8:R9"/>
    <mergeCell ref="X8:X9"/>
  </mergeCells>
  <pageMargins left="0.7" right="0.7" top="0.75" bottom="0.75" header="0.3" footer="0.3"/>
  <pageSetup orientation="landscape" paperSize="9" scale="49" fitToHeight="0" horizontalDpi="0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261"/>
  <sheetViews>
    <sheetView topLeftCell="A7" zoomScale="85" zoomScaleNormal="85" workbookViewId="0">
      <selection activeCell="P23" sqref="P23"/>
    </sheetView>
  </sheetViews>
  <sheetFormatPr baseColWidth="10" defaultColWidth="9.140625" defaultRowHeight="14.25"/>
  <cols>
    <col width="5.5703125" customWidth="1" style="1" min="1" max="1"/>
    <col width="15.7109375" customWidth="1" style="2" min="2" max="3"/>
    <col width="12.7109375" customWidth="1" style="4" min="4" max="4"/>
    <col width="15.7109375" customWidth="1" style="2" min="5" max="5"/>
    <col width="12.7109375" customWidth="1" style="4" min="6" max="7"/>
    <col width="15.7109375" customWidth="1" style="4" min="8" max="8"/>
    <col width="12.7109375" customWidth="1" style="4" min="9" max="10"/>
    <col width="5.7109375" customWidth="1" style="5" min="11" max="11"/>
    <col width="14.7109375" customWidth="1" style="35" min="12" max="12"/>
    <col width="14.7109375" customWidth="1" style="42" min="13" max="13"/>
    <col width="18.7109375" customWidth="1" style="35" min="14" max="15"/>
    <col width="10.140625" customWidth="1" style="35" min="16" max="17"/>
    <col width="12.7109375" customWidth="1" style="7" min="18" max="20"/>
    <col width="9.85546875" customWidth="1" style="1" min="21" max="21"/>
    <col width="9.140625" customWidth="1" style="1" min="22" max="16384"/>
  </cols>
  <sheetData>
    <row r="1">
      <c r="A1" s="1">
        <f>DATOS!A1</f>
        <v/>
      </c>
    </row>
    <row r="2">
      <c r="A2" s="1" t="inlineStr">
        <is>
          <t>FACTURAS SUMINISTRO ELECTRICIDAD</t>
        </is>
      </c>
    </row>
    <row r="3">
      <c r="A3" s="1" t="inlineStr">
        <is>
          <t>ENDESA ENERGIA</t>
        </is>
      </c>
    </row>
    <row r="4">
      <c r="A4" s="1" t="inlineStr">
        <is>
          <t>SUMINISTRO:</t>
        </is>
      </c>
      <c r="C4" s="22" t="inlineStr">
        <is>
          <t/>
        </is>
      </c>
      <c r="F4" s="7" t="n"/>
      <c r="G4" s="7" t="n"/>
    </row>
    <row r="5">
      <c r="A5" s="1" t="inlineStr">
        <is>
          <t>CUPS:</t>
        </is>
      </c>
      <c r="C5" s="22" t="inlineStr">
        <is>
          <t/>
        </is>
      </c>
      <c r="F5" s="7" t="n"/>
      <c r="G5" s="7" t="n"/>
    </row>
    <row r="8" ht="16.5" customFormat="1" customHeight="1" s="13">
      <c r="A8" s="217" t="n"/>
      <c r="B8" s="217" t="inlineStr">
        <is>
          <t>Fecha fra.</t>
        </is>
      </c>
      <c r="C8" s="217" t="inlineStr">
        <is>
          <t>Fecha inicial</t>
        </is>
      </c>
      <c r="D8" s="217" t="inlineStr">
        <is>
          <t>Fecha final</t>
        </is>
      </c>
      <c r="E8" s="221" t="inlineStr">
        <is>
          <t>Consumo (kWh)</t>
        </is>
      </c>
      <c r="F8" s="217" t="inlineStr">
        <is>
          <t>Término fijo (€)</t>
        </is>
      </c>
      <c r="G8" s="217" t="inlineStr">
        <is>
          <t>Término variable (€)</t>
        </is>
      </c>
      <c r="H8" s="222" t="inlineStr">
        <is>
          <t>Importe TOTAL (IVA incluido)</t>
        </is>
      </c>
      <c r="I8" s="217" t="inlineStr">
        <is>
          <t>Fecha pago</t>
        </is>
      </c>
      <c r="J8" s="217" t="inlineStr">
        <is>
          <t>Nota</t>
        </is>
      </c>
      <c r="K8" s="217" t="n"/>
      <c r="L8" s="220" t="inlineStr">
        <is>
          <t>Precio         kWh (IVA incl.)</t>
        </is>
      </c>
      <c r="M8" s="220" t="inlineStr">
        <is>
          <t>Precio medio kWh (IVA incl.)</t>
        </is>
      </c>
      <c r="N8" s="220" t="inlineStr">
        <is>
          <t>CONSUMO INVIERNO (kWh)</t>
        </is>
      </c>
      <c r="O8" s="220" t="inlineStr">
        <is>
          <t>CONSUMO VERANO (kWh)</t>
        </is>
      </c>
      <c r="P8" s="218" t="inlineStr">
        <is>
          <t>%     ACS</t>
        </is>
      </c>
      <c r="Q8" s="218" t="inlineStr">
        <is>
          <t>% CALEF.</t>
        </is>
      </c>
      <c r="R8" s="218" t="inlineStr">
        <is>
          <t>% Tér. Fijo</t>
        </is>
      </c>
      <c r="S8" s="218" t="inlineStr">
        <is>
          <t>% Tér. Variable</t>
        </is>
      </c>
    </row>
    <row r="9" ht="16.5" customFormat="1" customHeight="1" s="13"/>
    <row r="10" customFormat="1" s="150">
      <c r="B10" s="151" t="n"/>
      <c r="C10" s="151" t="n"/>
      <c r="D10" s="151" t="n"/>
      <c r="E10" s="155" t="n"/>
      <c r="F10" s="156" t="n"/>
      <c r="G10" s="156" t="n"/>
      <c r="H10" s="156" t="n"/>
      <c r="I10" s="151" t="n"/>
      <c r="J10" s="151" t="n"/>
      <c r="L10" s="157" t="n"/>
      <c r="M10" s="158" t="n"/>
      <c r="N10" s="160" t="n"/>
      <c r="O10" s="161" t="n"/>
      <c r="P10" s="159" t="n"/>
      <c r="Q10" s="159" t="n"/>
      <c r="R10" s="159" t="n"/>
      <c r="S10" s="159" t="n"/>
    </row>
    <row r="11" customFormat="1" s="150">
      <c r="B11" s="151" t="n"/>
      <c r="C11" s="151" t="n"/>
      <c r="D11" s="151" t="n"/>
      <c r="E11" s="155" t="n"/>
      <c r="F11" s="156" t="n"/>
      <c r="G11" s="156" t="n"/>
      <c r="H11" s="156" t="n"/>
      <c r="I11" s="151" t="n"/>
      <c r="J11" s="151" t="n"/>
      <c r="L11" s="157" t="n"/>
      <c r="M11" s="158" t="n"/>
      <c r="N11" s="160" t="n"/>
      <c r="O11" s="161" t="n"/>
      <c r="P11" s="159" t="n"/>
      <c r="Q11" s="159" t="n"/>
      <c r="R11" s="159" t="n"/>
      <c r="S11" s="159" t="n"/>
    </row>
    <row r="12" customFormat="1" s="150">
      <c r="B12" s="151" t="n"/>
      <c r="C12" s="151" t="n"/>
      <c r="D12" s="151" t="n"/>
      <c r="E12" s="155" t="n"/>
      <c r="F12" s="156" t="n"/>
      <c r="G12" s="156" t="n"/>
      <c r="H12" s="156" t="n"/>
      <c r="I12" s="151" t="n"/>
      <c r="J12" s="151" t="n"/>
      <c r="L12" s="157" t="n"/>
      <c r="M12" s="158" t="n"/>
      <c r="N12" s="160" t="n"/>
      <c r="O12" s="161" t="n"/>
      <c r="P12" s="159" t="n"/>
      <c r="Q12" s="159" t="n"/>
      <c r="R12" s="159" t="n"/>
      <c r="S12" s="159" t="n"/>
    </row>
    <row r="13" customFormat="1" s="150">
      <c r="B13" s="151" t="n"/>
      <c r="C13" s="151" t="n"/>
      <c r="D13" s="151" t="n"/>
      <c r="E13" s="155" t="n"/>
      <c r="F13" s="156" t="n"/>
      <c r="G13" s="156" t="n"/>
      <c r="H13" s="156" t="n"/>
      <c r="I13" s="151" t="n"/>
      <c r="J13" s="151" t="n"/>
      <c r="L13" s="157" t="n"/>
      <c r="M13" s="158" t="n"/>
      <c r="N13" s="155" t="n"/>
      <c r="O13" s="160" t="n"/>
      <c r="P13" s="159" t="n"/>
      <c r="Q13" s="159" t="n"/>
      <c r="R13" s="159" t="n"/>
      <c r="S13" s="159" t="n"/>
    </row>
    <row r="14" customFormat="1" s="150">
      <c r="B14" s="151" t="n"/>
      <c r="C14" s="151" t="n"/>
      <c r="D14" s="151" t="n"/>
      <c r="E14" s="155" t="n"/>
      <c r="F14" s="156" t="n"/>
      <c r="G14" s="156" t="n"/>
      <c r="H14" s="156" t="n"/>
      <c r="I14" s="151" t="n"/>
      <c r="J14" s="151" t="n"/>
      <c r="L14" s="157" t="n"/>
      <c r="M14" s="158" t="n"/>
      <c r="N14" s="160" t="n"/>
      <c r="O14" s="161" t="n"/>
      <c r="P14" s="159" t="n"/>
      <c r="Q14" s="159" t="n"/>
      <c r="R14" s="159" t="n"/>
      <c r="S14" s="159" t="n"/>
    </row>
    <row r="15" customFormat="1" s="150">
      <c r="B15" s="151" t="n"/>
      <c r="C15" s="151" t="n"/>
      <c r="D15" s="151" t="n"/>
      <c r="E15" s="155" t="n"/>
      <c r="F15" s="156" t="n"/>
      <c r="G15" s="156" t="n"/>
      <c r="H15" s="156" t="n"/>
      <c r="I15" s="151" t="n"/>
      <c r="J15" s="151" t="n"/>
      <c r="L15" s="157" t="n"/>
      <c r="M15" s="158" t="n"/>
      <c r="N15" s="160" t="n"/>
      <c r="O15" s="161" t="n"/>
      <c r="P15" s="159" t="n"/>
      <c r="Q15" s="159" t="n"/>
      <c r="R15" s="159" t="n"/>
      <c r="S15" s="159" t="n"/>
    </row>
    <row r="16" customFormat="1" s="150">
      <c r="B16" s="151" t="n"/>
      <c r="C16" s="151" t="n"/>
      <c r="D16" s="151" t="n"/>
      <c r="E16" s="155" t="n"/>
      <c r="F16" s="156" t="n"/>
      <c r="G16" s="156" t="n"/>
      <c r="H16" s="156" t="n"/>
      <c r="I16" s="151" t="n"/>
      <c r="J16" s="151" t="n"/>
      <c r="L16" s="157" t="n"/>
      <c r="M16" s="158" t="n"/>
      <c r="N16" s="160" t="n"/>
      <c r="O16" s="161" t="n"/>
      <c r="P16" s="159" t="n"/>
      <c r="Q16" s="159" t="n"/>
      <c r="R16" s="159" t="n"/>
      <c r="S16" s="159" t="n"/>
    </row>
    <row r="17" customFormat="1" s="150">
      <c r="B17" s="151" t="n"/>
      <c r="C17" s="151" t="n"/>
      <c r="D17" s="151" t="n"/>
      <c r="E17" s="155" t="n"/>
      <c r="F17" s="156" t="n"/>
      <c r="G17" s="156" t="n"/>
      <c r="H17" s="156" t="n"/>
      <c r="I17" s="151" t="n"/>
      <c r="J17" s="151" t="n"/>
      <c r="L17" s="157" t="n"/>
      <c r="M17" s="158" t="n"/>
      <c r="N17" s="160" t="n"/>
      <c r="O17" s="161" t="n"/>
      <c r="P17" s="159" t="n"/>
      <c r="Q17" s="159" t="n"/>
      <c r="R17" s="159" t="n"/>
      <c r="S17" s="159" t="n"/>
    </row>
    <row r="18" customFormat="1" s="150">
      <c r="B18" s="151" t="n"/>
      <c r="C18" s="151" t="n"/>
      <c r="D18" s="151" t="n"/>
      <c r="E18" s="155" t="n"/>
      <c r="F18" s="156" t="n"/>
      <c r="G18" s="156" t="n"/>
      <c r="H18" s="156" t="n"/>
      <c r="I18" s="151" t="n"/>
      <c r="J18" s="151" t="n"/>
      <c r="L18" s="157" t="n"/>
      <c r="M18" s="158" t="n"/>
      <c r="N18" s="160" t="n"/>
      <c r="O18" s="161" t="n"/>
      <c r="P18" s="159" t="n"/>
      <c r="Q18" s="159" t="n"/>
      <c r="R18" s="159" t="n"/>
      <c r="S18" s="159" t="n"/>
    </row>
    <row r="19" customFormat="1" s="150">
      <c r="B19" s="151" t="n"/>
      <c r="C19" s="151" t="n"/>
      <c r="D19" s="151" t="n"/>
      <c r="E19" s="155" t="n"/>
      <c r="F19" s="156" t="n"/>
      <c r="G19" s="156" t="n"/>
      <c r="H19" s="156" t="n"/>
      <c r="I19" s="151" t="n"/>
      <c r="J19" s="151" t="n"/>
      <c r="L19" s="157" t="n"/>
      <c r="M19" s="158" t="n"/>
      <c r="N19" s="160" t="n"/>
      <c r="O19" s="161" t="n"/>
      <c r="P19" s="159" t="n"/>
      <c r="Q19" s="159" t="n"/>
      <c r="R19" s="159" t="n"/>
      <c r="S19" s="159" t="n"/>
    </row>
    <row r="20" customFormat="1" s="150">
      <c r="B20" s="151" t="n"/>
      <c r="C20" s="151" t="n"/>
      <c r="D20" s="151" t="n"/>
      <c r="E20" s="155" t="n"/>
      <c r="F20" s="156" t="n"/>
      <c r="G20" s="156" t="n"/>
      <c r="H20" s="156" t="n"/>
      <c r="I20" s="151" t="n"/>
      <c r="J20" s="151" t="n"/>
      <c r="L20" s="157" t="n"/>
      <c r="M20" s="158" t="n"/>
      <c r="N20" s="155" t="n"/>
      <c r="O20" s="160" t="n"/>
      <c r="P20" s="159" t="n"/>
      <c r="Q20" s="159" t="n"/>
      <c r="R20" s="159" t="n"/>
      <c r="S20" s="159" t="n"/>
    </row>
    <row r="21" customFormat="1" s="150">
      <c r="B21" s="151" t="n"/>
      <c r="C21" s="151" t="n"/>
      <c r="D21" s="151" t="n"/>
      <c r="E21" s="155" t="n"/>
      <c r="F21" s="156" t="n"/>
      <c r="G21" s="156" t="n"/>
      <c r="H21" s="156" t="n"/>
      <c r="I21" s="151" t="n"/>
      <c r="J21" s="151" t="n"/>
      <c r="L21" s="157" t="n"/>
      <c r="M21" s="158" t="n"/>
      <c r="N21" s="160" t="n"/>
      <c r="O21" s="161" t="n"/>
      <c r="P21" s="159" t="n"/>
      <c r="Q21" s="159" t="n"/>
      <c r="R21" s="159" t="n"/>
      <c r="S21" s="159" t="n"/>
    </row>
    <row r="22">
      <c r="B22" s="16" t="n"/>
      <c r="C22" s="16" t="n"/>
      <c r="D22" s="16" t="n"/>
      <c r="E22" s="19" t="n"/>
      <c r="F22" s="20" t="n"/>
      <c r="G22" s="20" t="n"/>
      <c r="H22" s="20" t="n"/>
      <c r="I22" s="16" t="n"/>
      <c r="J22" s="16" t="n"/>
      <c r="K22" s="21" t="n"/>
      <c r="L22" s="43" t="n"/>
      <c r="M22" s="74" t="n"/>
      <c r="N22" s="37" t="n"/>
      <c r="O22" s="38" t="n"/>
      <c r="P22" s="39" t="n"/>
      <c r="Q22" s="39" t="n"/>
      <c r="R22" s="39" t="n"/>
      <c r="S22" s="39" t="n"/>
      <c r="T22" s="1" t="n"/>
    </row>
    <row r="23" ht="15" customHeight="1">
      <c r="B23" s="15" t="n"/>
      <c r="C23" s="3" t="n"/>
      <c r="D23" s="142" t="n"/>
      <c r="E23" s="5" t="n"/>
      <c r="F23" s="6" t="n"/>
      <c r="G23" s="6" t="n"/>
      <c r="H23" s="6" t="n"/>
      <c r="I23" s="10" t="n"/>
      <c r="J23" s="10" t="n"/>
      <c r="M23" s="73" t="n"/>
      <c r="N23" s="36" t="n"/>
      <c r="O23" s="36" t="n"/>
      <c r="P23" s="76" t="n"/>
      <c r="Q23" s="76" t="n"/>
      <c r="R23" s="76" t="n"/>
      <c r="S23" s="76" t="n"/>
    </row>
    <row r="24">
      <c r="B24" s="3" t="n"/>
      <c r="C24" s="3" t="n"/>
      <c r="D24" s="15" t="n"/>
      <c r="E24" s="5" t="n"/>
      <c r="F24" s="6" t="n"/>
      <c r="G24" s="6" t="n"/>
      <c r="H24" s="6" t="n"/>
      <c r="I24" s="10" t="n"/>
      <c r="J24" s="10" t="n"/>
      <c r="N24" s="40" t="n"/>
      <c r="O24" s="40" t="n"/>
      <c r="R24" s="35" t="n"/>
      <c r="S24" s="35" t="n"/>
    </row>
    <row r="25" ht="15" customHeight="1">
      <c r="B25" s="3" t="n"/>
      <c r="C25" s="3" t="n"/>
      <c r="D25" s="15" t="n"/>
      <c r="E25" s="5" t="n"/>
      <c r="F25" s="6" t="n"/>
      <c r="G25" s="6" t="n"/>
      <c r="H25" s="6" t="n"/>
      <c r="I25" s="10" t="n"/>
      <c r="J25" s="10" t="n"/>
      <c r="N25" s="141" t="n"/>
      <c r="O25" s="141" t="n"/>
      <c r="P25" s="224" t="n"/>
      <c r="R25" s="35" t="n"/>
      <c r="S25" s="35" t="n"/>
    </row>
    <row r="26">
      <c r="B26" s="3" t="n"/>
      <c r="C26" s="3" t="n"/>
      <c r="D26" s="15" t="n"/>
      <c r="E26" s="5" t="n"/>
      <c r="F26" s="6" t="n"/>
      <c r="G26" s="6" t="n"/>
      <c r="H26" s="6" t="n"/>
      <c r="I26" s="10" t="n"/>
      <c r="J26" s="10" t="n"/>
      <c r="N26" s="36" t="n"/>
      <c r="O26" s="36" t="n"/>
      <c r="R26" s="35" t="n"/>
      <c r="S26" s="35" t="n"/>
    </row>
    <row r="27">
      <c r="B27" s="3" t="n"/>
      <c r="C27" s="3" t="n"/>
      <c r="D27" s="15" t="n"/>
      <c r="E27" s="5" t="n"/>
      <c r="F27" s="6" t="n"/>
      <c r="G27" s="6" t="n"/>
      <c r="H27" s="6" t="n"/>
      <c r="I27" s="10" t="n"/>
      <c r="J27" s="10" t="n"/>
      <c r="N27" s="36" t="n"/>
      <c r="O27" s="36" t="n"/>
      <c r="R27" s="35" t="n"/>
      <c r="S27" s="35" t="n"/>
    </row>
    <row r="28">
      <c r="B28" s="3" t="n"/>
      <c r="C28" s="3" t="n"/>
      <c r="D28" s="15" t="n"/>
      <c r="E28" s="5" t="n"/>
      <c r="F28" s="6" t="n"/>
      <c r="G28" s="6" t="n"/>
      <c r="H28" s="6" t="n"/>
      <c r="I28" s="10" t="n"/>
      <c r="J28" s="10" t="n"/>
      <c r="N28" s="36" t="n"/>
      <c r="O28" s="36" t="n"/>
      <c r="R28" s="35" t="n"/>
      <c r="S28" s="35" t="n"/>
    </row>
    <row r="29">
      <c r="B29" s="3" t="n"/>
      <c r="C29" s="3" t="n"/>
      <c r="D29" s="3" t="n"/>
      <c r="E29" s="5" t="n"/>
      <c r="H29" s="6" t="n"/>
      <c r="I29" s="3" t="n"/>
      <c r="J29" s="3" t="n"/>
      <c r="K29" s="1" t="n"/>
      <c r="L29" s="41" t="n"/>
      <c r="N29" s="155" t="n"/>
      <c r="O29" s="155" t="n"/>
      <c r="R29" s="1" t="n"/>
      <c r="S29" s="1" t="n"/>
      <c r="T29" s="1" t="n"/>
    </row>
    <row r="30">
      <c r="B30" s="3" t="n"/>
      <c r="C30" s="3" t="n"/>
      <c r="D30" s="3" t="n"/>
      <c r="E30" s="5" t="n"/>
      <c r="H30" s="6" t="n"/>
      <c r="I30" s="3" t="n"/>
      <c r="J30" s="3" t="n"/>
      <c r="K30" s="1" t="n"/>
      <c r="L30" s="41" t="n"/>
      <c r="N30" s="155" t="n"/>
      <c r="O30" s="155" t="n"/>
      <c r="R30" s="1" t="n"/>
      <c r="S30" s="1" t="n"/>
      <c r="T30" s="1" t="n"/>
    </row>
    <row r="31">
      <c r="B31" s="3" t="n"/>
      <c r="C31" s="3" t="n"/>
      <c r="D31" s="3" t="n"/>
      <c r="E31" s="5" t="n"/>
      <c r="H31" s="6" t="n"/>
      <c r="I31" s="3" t="n"/>
      <c r="J31" s="3" t="n"/>
      <c r="K31" s="1" t="n"/>
      <c r="L31" s="41" t="n"/>
      <c r="N31" s="155" t="n"/>
      <c r="O31" s="155" t="n"/>
      <c r="R31" s="1" t="n"/>
      <c r="S31" s="1" t="n"/>
      <c r="T31" s="1" t="n"/>
    </row>
    <row r="32">
      <c r="B32" s="3" t="n"/>
      <c r="C32" s="3" t="n"/>
      <c r="D32" s="3" t="n"/>
      <c r="E32" s="5" t="n"/>
      <c r="H32" s="6" t="n"/>
      <c r="I32" s="3" t="n"/>
      <c r="J32" s="3" t="n"/>
      <c r="K32" s="1" t="n"/>
      <c r="L32" s="41" t="n"/>
      <c r="N32" s="155" t="n"/>
      <c r="O32" s="155" t="n"/>
      <c r="R32" s="8" t="n"/>
      <c r="S32" s="8" t="n"/>
      <c r="T32" s="1" t="n"/>
    </row>
    <row r="33">
      <c r="B33" s="3" t="n"/>
      <c r="C33" s="3" t="n"/>
      <c r="D33" s="3" t="n"/>
      <c r="E33" s="5" t="n"/>
      <c r="H33" s="6" t="n"/>
      <c r="I33" s="3" t="n"/>
      <c r="J33" s="3" t="n"/>
      <c r="K33" s="1" t="n"/>
      <c r="L33" s="41" t="n"/>
      <c r="N33" s="155" t="n"/>
      <c r="O33" s="155" t="n"/>
      <c r="R33" s="8" t="n"/>
      <c r="S33" s="8" t="n"/>
      <c r="T33" s="1" t="n"/>
    </row>
    <row r="34" customFormat="1" s="8">
      <c r="B34" s="9" t="n"/>
      <c r="C34" s="9" t="n"/>
      <c r="D34" s="9" t="n"/>
      <c r="E34" s="11" t="n"/>
      <c r="F34" s="4" t="n"/>
      <c r="G34" s="4" t="n"/>
      <c r="H34" s="12" t="n"/>
      <c r="I34" s="9" t="n"/>
      <c r="J34" s="9" t="n"/>
      <c r="L34" s="41" t="n"/>
      <c r="M34" s="41" t="n"/>
      <c r="N34" s="155" t="n"/>
      <c r="O34" s="155" t="n"/>
      <c r="P34" s="35" t="n"/>
      <c r="Q34" s="35" t="n"/>
      <c r="R34" s="1" t="n"/>
      <c r="S34" s="1" t="n"/>
    </row>
    <row r="35" customFormat="1" s="8">
      <c r="B35" s="9" t="n"/>
      <c r="C35" s="3" t="n"/>
      <c r="D35" s="9" t="n"/>
      <c r="E35" s="11" t="n"/>
      <c r="F35" s="4" t="n"/>
      <c r="G35" s="4" t="n"/>
      <c r="H35" s="12" t="n"/>
      <c r="I35" s="9" t="n"/>
      <c r="J35" s="9" t="n"/>
      <c r="L35" s="41" t="n"/>
      <c r="M35" s="41" t="n"/>
      <c r="N35" s="155" t="n"/>
      <c r="O35" s="155" t="n"/>
      <c r="P35" s="35" t="n"/>
      <c r="Q35" s="35" t="n"/>
      <c r="R35" s="1" t="n"/>
      <c r="S35" s="1" t="n"/>
    </row>
    <row r="36">
      <c r="B36" s="3" t="n"/>
      <c r="C36" s="3" t="n"/>
      <c r="D36" s="3" t="n"/>
      <c r="E36" s="5" t="n"/>
      <c r="H36" s="6" t="n"/>
      <c r="I36" s="3" t="n"/>
      <c r="J36" s="3" t="n"/>
      <c r="K36" s="1" t="n"/>
      <c r="L36" s="41" t="n"/>
      <c r="N36" s="155" t="n"/>
      <c r="O36" s="155" t="n"/>
      <c r="R36" s="1" t="n"/>
      <c r="S36" s="1" t="n"/>
      <c r="T36" s="1" t="n"/>
    </row>
    <row r="37">
      <c r="B37" s="3" t="n"/>
      <c r="C37" s="3" t="n"/>
      <c r="D37" s="3" t="n"/>
      <c r="E37" s="5" t="n"/>
      <c r="H37" s="6" t="n"/>
      <c r="I37" s="3" t="n"/>
      <c r="J37" s="3" t="n"/>
      <c r="K37" s="1" t="n"/>
      <c r="L37" s="41" t="n"/>
      <c r="N37" s="155" t="n"/>
      <c r="O37" s="155" t="n"/>
      <c r="R37" s="1" t="n"/>
      <c r="S37" s="1" t="n"/>
      <c r="T37" s="1" t="n"/>
    </row>
    <row r="38">
      <c r="B38" s="3" t="n"/>
      <c r="C38" s="3" t="n"/>
      <c r="D38" s="3" t="n"/>
      <c r="E38" s="5" t="n"/>
      <c r="H38" s="6" t="n"/>
      <c r="I38" s="3" t="n"/>
      <c r="J38" s="3" t="n"/>
      <c r="K38" s="1" t="n"/>
      <c r="L38" s="41" t="n"/>
      <c r="N38" s="155" t="n"/>
      <c r="O38" s="155" t="n"/>
      <c r="R38" s="1" t="n"/>
      <c r="S38" s="1" t="n"/>
      <c r="T38" s="1" t="n"/>
    </row>
    <row r="39">
      <c r="B39" s="3" t="n"/>
      <c r="C39" s="3" t="n"/>
      <c r="D39" s="3" t="n"/>
      <c r="E39" s="5" t="n"/>
      <c r="H39" s="6" t="n"/>
      <c r="I39" s="3" t="n"/>
      <c r="J39" s="3" t="n"/>
      <c r="K39" s="1" t="n"/>
      <c r="L39" s="41" t="n"/>
      <c r="N39" s="155" t="n"/>
      <c r="O39" s="155" t="n"/>
      <c r="R39" s="1" t="n"/>
      <c r="S39" s="1" t="n"/>
      <c r="T39" s="1" t="n"/>
    </row>
    <row r="40">
      <c r="B40" s="3" t="n"/>
      <c r="C40" s="3" t="n"/>
      <c r="D40" s="3" t="n"/>
      <c r="E40" s="5" t="n"/>
      <c r="H40" s="6" t="n"/>
      <c r="I40" s="3" t="n"/>
      <c r="J40" s="3" t="n"/>
      <c r="K40" s="1" t="n"/>
      <c r="L40" s="41" t="n"/>
      <c r="N40" s="155" t="n"/>
      <c r="O40" s="155" t="n"/>
      <c r="R40" s="1" t="n"/>
      <c r="S40" s="1" t="n"/>
      <c r="T40" s="1" t="n"/>
    </row>
    <row r="41">
      <c r="B41" s="3" t="n"/>
      <c r="C41" s="3" t="n"/>
      <c r="D41" s="3" t="n"/>
      <c r="E41" s="5" t="n"/>
      <c r="H41" s="6" t="n"/>
      <c r="I41" s="3" t="n"/>
      <c r="J41" s="3" t="n"/>
      <c r="K41" s="1" t="n"/>
      <c r="L41" s="41" t="n"/>
      <c r="N41" s="155" t="n"/>
      <c r="O41" s="155" t="n"/>
      <c r="R41" s="8" t="n"/>
      <c r="S41" s="8" t="n"/>
      <c r="T41" s="1" t="n"/>
    </row>
    <row r="42">
      <c r="B42" s="3" t="n"/>
      <c r="C42" s="3" t="n"/>
      <c r="D42" s="3" t="n"/>
      <c r="E42" s="5" t="n"/>
      <c r="H42" s="6" t="n"/>
      <c r="I42" s="3" t="n"/>
      <c r="J42" s="3" t="n"/>
      <c r="K42" s="1" t="n"/>
      <c r="L42" s="41" t="n"/>
      <c r="N42" s="155" t="n"/>
      <c r="O42" s="155" t="n"/>
      <c r="R42" s="8" t="n"/>
      <c r="S42" s="8" t="n"/>
      <c r="T42" s="1" t="n"/>
    </row>
    <row r="43" customFormat="1" s="8">
      <c r="B43" s="9" t="n"/>
      <c r="C43" s="9" t="n"/>
      <c r="D43" s="9" t="n"/>
      <c r="E43" s="11" t="n"/>
      <c r="F43" s="4" t="n"/>
      <c r="G43" s="4" t="n"/>
      <c r="H43" s="12" t="n"/>
      <c r="I43" s="9" t="n"/>
      <c r="J43" s="9" t="n"/>
      <c r="L43" s="41" t="n"/>
      <c r="M43" s="41" t="n"/>
      <c r="N43" s="155" t="n"/>
      <c r="O43" s="155" t="n"/>
      <c r="P43" s="35" t="n"/>
      <c r="Q43" s="35" t="n"/>
      <c r="R43" s="1" t="n"/>
      <c r="S43" s="1" t="n"/>
    </row>
    <row r="44" customFormat="1" s="8">
      <c r="B44" s="9" t="n"/>
      <c r="C44" s="3" t="n"/>
      <c r="D44" s="9" t="n"/>
      <c r="E44" s="11" t="n"/>
      <c r="F44" s="4" t="n"/>
      <c r="G44" s="4" t="n"/>
      <c r="H44" s="12" t="n"/>
      <c r="I44" s="9" t="n"/>
      <c r="J44" s="9" t="n"/>
      <c r="L44" s="41" t="n"/>
      <c r="M44" s="41" t="n"/>
      <c r="N44" s="155" t="n"/>
      <c r="O44" s="155" t="n"/>
      <c r="P44" s="35" t="n"/>
      <c r="Q44" s="35" t="n"/>
      <c r="R44" s="1" t="n"/>
      <c r="S44" s="1" t="n"/>
    </row>
    <row r="45">
      <c r="B45" s="3" t="n"/>
      <c r="C45" s="3" t="n"/>
      <c r="D45" s="3" t="n"/>
      <c r="E45" s="5" t="n"/>
      <c r="H45" s="6" t="n"/>
      <c r="I45" s="3" t="n"/>
      <c r="J45" s="3" t="n"/>
      <c r="K45" s="1" t="n"/>
      <c r="L45" s="41" t="n"/>
      <c r="N45" s="155" t="n"/>
      <c r="O45" s="155" t="n"/>
      <c r="R45" s="1" t="n"/>
      <c r="S45" s="1" t="n"/>
      <c r="T45" s="1" t="n"/>
    </row>
    <row r="46">
      <c r="B46" s="3" t="inlineStr">
        <is>
          <t>Suma ….</t>
        </is>
      </c>
      <c r="C46" s="3" t="n"/>
      <c r="D46" s="3">
        <f>D45-C10</f>
        <v/>
      </c>
      <c r="E46" s="5">
        <f>SUM(E10:E45)</f>
        <v/>
      </c>
      <c r="F46">
        <f>SUM(F10:F45)</f>
        <v/>
      </c>
      <c r="G46">
        <f>SUM(G10:G45)</f>
        <v/>
      </c>
      <c r="H46" s="6">
        <f>SUM(H10:H45)</f>
        <v/>
      </c>
      <c r="I46" s="3" t="n"/>
      <c r="J46" s="3" t="n"/>
      <c r="K46" s="1" t="n"/>
      <c r="L46" s="41" t="n"/>
      <c r="M46">
        <f>G46/E46</f>
        <v/>
      </c>
      <c r="N46">
        <f>SUM(N10:N45)</f>
        <v/>
      </c>
      <c r="O46">
        <f>SUM(O10:O45)</f>
        <v/>
      </c>
      <c r="P46">
        <f>(O46+N46*O47)/E46</f>
        <v/>
      </c>
      <c r="Q46">
        <f>N46*(1-O47)/E46</f>
        <v/>
      </c>
      <c r="R46" s="1">
        <f>F46/H46</f>
        <v/>
      </c>
      <c r="S46" s="1">
        <f>G46/H46</f>
        <v/>
      </c>
      <c r="T46" s="1" t="n"/>
    </row>
    <row r="47">
      <c r="B47" s="3" t="n"/>
      <c r="C47" s="3" t="n"/>
      <c r="D47" s="3" t="n"/>
      <c r="E47" s="5" t="n"/>
      <c r="H47" s="6" t="n"/>
      <c r="I47" s="3" t="n"/>
      <c r="J47" s="3" t="n"/>
      <c r="K47" s="1" t="n"/>
      <c r="L47" s="41" t="n"/>
      <c r="N47">
        <f>N46/E46</f>
        <v/>
      </c>
      <c r="O47">
        <f>O46/E46</f>
        <v/>
      </c>
      <c r="R47" s="1" t="n"/>
      <c r="S47" s="1" t="n"/>
      <c r="T47" s="1" t="n"/>
    </row>
    <row r="48">
      <c r="B48" s="3" t="n"/>
      <c r="C48" s="3" t="n"/>
      <c r="D48" s="3" t="n"/>
      <c r="E48" s="5" t="n"/>
      <c r="H48" s="6" t="n"/>
      <c r="I48" s="3" t="n"/>
      <c r="J48" s="3" t="n"/>
      <c r="K48" s="1" t="n"/>
      <c r="L48" s="41" t="n"/>
      <c r="N48">
        <f>N47</f>
        <v/>
      </c>
      <c r="O48">
        <f>O47</f>
        <v/>
      </c>
      <c r="P48" t="inlineStr">
        <is>
          <t>SOLO ACS</t>
        </is>
      </c>
      <c r="R48" s="1" t="n"/>
      <c r="S48" s="1" t="n"/>
      <c r="T48" s="1" t="n"/>
    </row>
    <row r="49">
      <c r="B49" s="3" t="n"/>
      <c r="C49" s="3" t="n"/>
      <c r="D49" s="3" t="n"/>
      <c r="E49" s="5" t="n"/>
      <c r="H49" s="6" t="n"/>
      <c r="I49" s="3" t="n"/>
      <c r="J49" s="3" t="n"/>
      <c r="K49" s="1" t="n"/>
      <c r="L49" s="41" t="n"/>
      <c r="R49" s="1" t="n"/>
      <c r="S49" s="1" t="n"/>
      <c r="T49" s="1" t="n"/>
    </row>
    <row r="50">
      <c r="B50" s="3" t="n"/>
      <c r="C50" s="3" t="n"/>
      <c r="D50" s="3" t="n"/>
      <c r="E50" s="5" t="n"/>
      <c r="H50" s="6" t="n"/>
      <c r="I50" s="3" t="n"/>
      <c r="J50" s="3" t="n"/>
      <c r="K50" s="1" t="n"/>
      <c r="L50" s="41" t="n"/>
      <c r="R50" s="8" t="n"/>
      <c r="S50" s="8" t="n"/>
      <c r="T50" s="1" t="n"/>
    </row>
    <row r="51">
      <c r="B51" s="3" t="n"/>
      <c r="C51" s="3" t="n"/>
      <c r="D51" s="3" t="n"/>
      <c r="E51" s="5" t="n"/>
      <c r="H51" s="6" t="n"/>
      <c r="I51" s="3" t="n"/>
      <c r="J51" s="3" t="n"/>
      <c r="K51" s="1" t="n"/>
      <c r="L51" s="41" t="n"/>
      <c r="R51" s="8" t="n"/>
      <c r="S51" s="8" t="n"/>
      <c r="T51" s="1" t="n"/>
    </row>
    <row r="52" customFormat="1" s="8">
      <c r="B52" s="9" t="n"/>
      <c r="C52" s="9" t="n"/>
      <c r="D52" s="9" t="n"/>
      <c r="E52" s="11" t="n"/>
      <c r="F52" s="4" t="n"/>
      <c r="G52" s="4" t="n"/>
      <c r="H52" s="12" t="n"/>
      <c r="I52" s="9" t="n"/>
      <c r="J52" s="9" t="n"/>
      <c r="L52" s="41" t="n"/>
      <c r="M52" s="41" t="n"/>
      <c r="N52" s="35" t="n"/>
      <c r="O52" s="35" t="n"/>
      <c r="P52" s="35" t="n"/>
      <c r="Q52" s="35" t="n"/>
      <c r="R52" s="1" t="n"/>
      <c r="S52" s="1" t="n"/>
    </row>
    <row r="53" customFormat="1" s="8">
      <c r="B53" s="9" t="n"/>
      <c r="C53" s="3" t="n"/>
      <c r="D53" s="9" t="n"/>
      <c r="E53" s="11" t="n"/>
      <c r="F53" s="4" t="n"/>
      <c r="G53" s="4" t="n"/>
      <c r="H53" s="12" t="n"/>
      <c r="I53" s="9" t="n"/>
      <c r="J53" s="9" t="n"/>
      <c r="L53" s="41" t="n"/>
      <c r="M53" s="41" t="n"/>
      <c r="N53" s="35" t="n"/>
      <c r="O53" s="35" t="n"/>
      <c r="P53" s="35" t="n"/>
      <c r="Q53" s="35" t="n"/>
      <c r="R53" s="1" t="n"/>
      <c r="S53" s="1" t="n"/>
    </row>
    <row r="54">
      <c r="B54" s="3" t="n"/>
      <c r="C54" s="3" t="n"/>
      <c r="D54" s="3" t="n"/>
      <c r="E54" s="5" t="n"/>
      <c r="H54" s="6" t="n"/>
      <c r="I54" s="3" t="n"/>
      <c r="J54" s="3" t="n"/>
      <c r="K54" s="1" t="n"/>
      <c r="L54" s="41" t="n"/>
      <c r="R54" s="1" t="n"/>
      <c r="S54" s="1" t="n"/>
      <c r="T54" s="1" t="n"/>
    </row>
    <row r="55">
      <c r="B55" s="3" t="n"/>
      <c r="C55" s="3" t="n"/>
      <c r="D55" s="3" t="n"/>
      <c r="E55" s="5" t="n"/>
      <c r="H55" s="6" t="n"/>
      <c r="I55" s="3" t="n"/>
      <c r="J55" s="3" t="n"/>
      <c r="K55" s="1" t="n"/>
      <c r="L55" s="41" t="n"/>
      <c r="R55" s="1" t="n"/>
      <c r="S55" s="1" t="n"/>
      <c r="T55" s="1" t="n"/>
    </row>
    <row r="56">
      <c r="B56" s="3" t="n"/>
      <c r="C56" s="3" t="n"/>
      <c r="D56" s="3" t="n"/>
      <c r="E56" s="5" t="n"/>
      <c r="H56" s="6" t="n"/>
      <c r="I56" s="3" t="n"/>
      <c r="J56" s="3" t="n"/>
      <c r="K56" s="1" t="n"/>
      <c r="L56" s="41" t="n"/>
      <c r="R56" s="1" t="n"/>
      <c r="S56" s="1" t="n"/>
      <c r="T56" s="1" t="n"/>
    </row>
    <row r="57">
      <c r="B57" s="3" t="n"/>
      <c r="C57" s="3" t="n"/>
      <c r="D57" s="3" t="n"/>
      <c r="E57" s="5" t="n"/>
      <c r="H57" s="6" t="n"/>
      <c r="I57" s="3" t="n"/>
      <c r="J57" s="3" t="n"/>
      <c r="K57" s="1" t="n"/>
      <c r="L57" s="41" t="n"/>
      <c r="R57" s="1" t="n"/>
      <c r="S57" s="1" t="n"/>
      <c r="T57" s="1" t="n"/>
    </row>
    <row r="58">
      <c r="B58" s="3" t="n"/>
      <c r="C58" s="3" t="n"/>
      <c r="D58" s="3" t="n"/>
      <c r="E58" s="5" t="n"/>
      <c r="H58" s="6" t="n"/>
      <c r="I58" s="3" t="n"/>
      <c r="J58" s="3" t="n"/>
      <c r="K58" s="1" t="n"/>
      <c r="L58" s="41" t="n"/>
      <c r="R58" s="1" t="n"/>
      <c r="S58" s="1" t="n"/>
      <c r="T58" s="1" t="n"/>
    </row>
    <row r="59">
      <c r="B59" s="3" t="n"/>
      <c r="C59" s="3" t="n"/>
      <c r="D59" s="3" t="n"/>
      <c r="E59" s="5" t="n"/>
      <c r="H59" s="6" t="n"/>
      <c r="I59" s="3" t="n"/>
      <c r="J59" s="3" t="n"/>
      <c r="K59" s="1" t="n"/>
      <c r="L59" s="41" t="n"/>
      <c r="R59" s="8" t="n"/>
      <c r="S59" s="8" t="n"/>
      <c r="T59" s="1" t="n"/>
    </row>
    <row r="60">
      <c r="B60" s="3" t="n"/>
      <c r="C60" s="3" t="n"/>
      <c r="D60" s="3" t="n"/>
      <c r="E60" s="5" t="n"/>
      <c r="H60" s="6" t="n"/>
      <c r="I60" s="3" t="n"/>
      <c r="J60" s="3" t="n"/>
      <c r="K60" s="1" t="n"/>
      <c r="L60" s="41" t="n"/>
      <c r="R60" s="8" t="n"/>
      <c r="S60" s="8" t="n"/>
      <c r="T60" s="1" t="n"/>
    </row>
    <row r="61" customFormat="1" s="8">
      <c r="B61" s="9" t="n"/>
      <c r="C61" s="9" t="n"/>
      <c r="D61" s="9" t="n"/>
      <c r="E61" s="11" t="n"/>
      <c r="F61" s="4" t="n"/>
      <c r="G61" s="4" t="n"/>
      <c r="H61" s="12" t="n"/>
      <c r="I61" s="9" t="n"/>
      <c r="J61" s="9" t="n"/>
      <c r="L61" s="41" t="n"/>
      <c r="M61" s="41" t="n"/>
      <c r="N61" s="35" t="n"/>
      <c r="O61" s="35" t="n"/>
      <c r="P61" s="35" t="n"/>
      <c r="Q61" s="35" t="n"/>
      <c r="R61" s="1" t="n"/>
      <c r="S61" s="1" t="n"/>
    </row>
    <row r="62" customFormat="1" s="8">
      <c r="B62" s="9" t="n"/>
      <c r="C62" s="3" t="n"/>
      <c r="D62" s="9" t="n"/>
      <c r="E62" s="11" t="n"/>
      <c r="F62" s="4" t="n"/>
      <c r="G62" s="4" t="n"/>
      <c r="H62" s="12" t="n"/>
      <c r="I62" s="9" t="n"/>
      <c r="J62" s="9" t="n"/>
      <c r="L62" s="41" t="n"/>
      <c r="M62" s="41" t="n"/>
      <c r="N62" s="35" t="n"/>
      <c r="O62" s="35" t="n"/>
      <c r="P62" s="35" t="n"/>
      <c r="Q62" s="35" t="n"/>
      <c r="R62" s="1" t="n"/>
      <c r="S62" s="1" t="n"/>
    </row>
    <row r="63">
      <c r="B63" s="3" t="n"/>
      <c r="C63" s="3" t="n"/>
      <c r="D63" s="3" t="n"/>
      <c r="E63" s="5" t="n"/>
      <c r="H63" s="6" t="n"/>
      <c r="I63" s="3" t="n"/>
      <c r="J63" s="3" t="n"/>
      <c r="K63" s="1" t="n"/>
      <c r="L63" s="41" t="n"/>
      <c r="R63" s="1" t="n"/>
      <c r="S63" s="1" t="n"/>
      <c r="T63" s="1" t="n"/>
    </row>
    <row r="64">
      <c r="B64" s="3" t="n"/>
      <c r="C64" s="3" t="n"/>
      <c r="D64" s="3" t="n"/>
      <c r="E64" s="5" t="n"/>
      <c r="H64" s="6" t="n"/>
      <c r="I64" s="3" t="n"/>
      <c r="J64" s="3" t="n"/>
      <c r="K64" s="1" t="n"/>
      <c r="L64" s="41" t="n"/>
      <c r="R64" s="1" t="n"/>
      <c r="S64" s="1" t="n"/>
      <c r="T64" s="1" t="n"/>
    </row>
    <row r="65">
      <c r="B65" s="3" t="n"/>
      <c r="C65" s="3" t="n"/>
      <c r="D65" s="3" t="n"/>
      <c r="E65" s="5" t="n"/>
      <c r="H65" s="6" t="n"/>
      <c r="I65" s="3" t="n"/>
      <c r="J65" s="3" t="n"/>
      <c r="K65" s="1" t="n"/>
      <c r="L65" s="41" t="n"/>
      <c r="R65" s="1" t="n"/>
      <c r="S65" s="1" t="n"/>
      <c r="T65" s="1" t="n"/>
    </row>
    <row r="66">
      <c r="B66" s="3" t="n"/>
      <c r="C66" s="3" t="n"/>
      <c r="D66" s="3" t="n"/>
      <c r="E66" s="5" t="n"/>
      <c r="H66" s="6" t="n"/>
      <c r="I66" s="3" t="n"/>
      <c r="J66" s="3" t="n"/>
      <c r="K66" s="1" t="n"/>
      <c r="L66" s="41" t="n"/>
      <c r="R66" s="1" t="n"/>
      <c r="S66" s="1" t="n"/>
      <c r="T66" s="1" t="n"/>
    </row>
    <row r="67">
      <c r="B67" s="3" t="n"/>
      <c r="C67" s="3" t="n"/>
      <c r="D67" s="3" t="n"/>
      <c r="E67" s="5" t="n"/>
      <c r="H67" s="6" t="n"/>
      <c r="I67" s="3" t="n"/>
      <c r="J67" s="3" t="n"/>
      <c r="K67" s="1" t="n"/>
      <c r="L67" s="41" t="n"/>
      <c r="R67" s="1" t="n"/>
      <c r="S67" s="1" t="n"/>
      <c r="T67" s="1" t="n"/>
    </row>
    <row r="68">
      <c r="B68" s="3" t="n"/>
      <c r="C68" s="3" t="n"/>
      <c r="D68" s="3" t="n"/>
      <c r="E68" s="5" t="n"/>
      <c r="H68" s="6" t="n"/>
      <c r="I68" s="3" t="n"/>
      <c r="J68" s="3" t="n"/>
      <c r="K68" s="1" t="n"/>
      <c r="L68" s="41" t="n"/>
      <c r="R68" s="8" t="n"/>
      <c r="S68" s="8" t="n"/>
      <c r="T68" s="1" t="n"/>
    </row>
    <row r="69">
      <c r="B69" s="3" t="n"/>
      <c r="C69" s="3" t="n"/>
      <c r="D69" s="3" t="n"/>
      <c r="E69" s="5" t="n"/>
      <c r="H69" s="6" t="n"/>
      <c r="I69" s="3" t="n"/>
      <c r="J69" s="3" t="n"/>
      <c r="K69" s="1" t="n"/>
      <c r="L69" s="41" t="n"/>
      <c r="R69" s="8" t="n"/>
      <c r="S69" s="8" t="n"/>
      <c r="T69" s="1" t="n"/>
    </row>
    <row r="70" customFormat="1" s="8">
      <c r="B70" s="9" t="n"/>
      <c r="C70" s="9" t="n"/>
      <c r="D70" s="9" t="n"/>
      <c r="E70" s="11" t="n"/>
      <c r="F70" s="4" t="n"/>
      <c r="G70" s="4" t="n"/>
      <c r="H70" s="12" t="n"/>
      <c r="I70" s="9" t="n"/>
      <c r="J70" s="9" t="n"/>
      <c r="L70" s="41" t="n"/>
      <c r="M70" s="41" t="n"/>
      <c r="N70" s="35" t="n"/>
      <c r="O70" s="35" t="n"/>
      <c r="P70" s="35" t="n"/>
      <c r="Q70" s="35" t="n"/>
      <c r="R70" s="1" t="n"/>
      <c r="S70" s="1" t="n"/>
    </row>
    <row r="71" customFormat="1" s="8">
      <c r="B71" s="9" t="n"/>
      <c r="C71" s="3" t="n"/>
      <c r="D71" s="9" t="n"/>
      <c r="E71" s="11" t="n"/>
      <c r="F71" s="4" t="n"/>
      <c r="G71" s="4" t="n"/>
      <c r="H71" s="12" t="n"/>
      <c r="I71" s="9" t="n"/>
      <c r="J71" s="9" t="n"/>
      <c r="L71" s="41" t="n"/>
      <c r="M71" s="41" t="n"/>
      <c r="N71" s="35" t="n"/>
      <c r="O71" s="35" t="n"/>
      <c r="P71" s="35" t="n"/>
      <c r="Q71" s="35" t="n"/>
      <c r="R71" s="1" t="n"/>
      <c r="S71" s="1" t="n"/>
    </row>
    <row r="72">
      <c r="B72" s="3" t="n"/>
      <c r="C72" s="3" t="n"/>
      <c r="D72" s="3" t="n"/>
      <c r="E72" s="5" t="n"/>
      <c r="H72" s="6" t="n"/>
      <c r="I72" s="3" t="n"/>
      <c r="J72" s="3" t="n"/>
      <c r="K72" s="1" t="n"/>
      <c r="L72" s="41" t="n"/>
      <c r="R72" s="1" t="n"/>
      <c r="S72" s="1" t="n"/>
      <c r="T72" s="1" t="n"/>
    </row>
    <row r="73">
      <c r="B73" s="3" t="n"/>
      <c r="C73" s="3" t="n"/>
      <c r="D73" s="3" t="n"/>
      <c r="E73" s="5" t="n"/>
      <c r="H73" s="6" t="n"/>
      <c r="I73" s="3" t="n"/>
      <c r="J73" s="3" t="n"/>
      <c r="K73" s="1" t="n"/>
      <c r="L73" s="41" t="n"/>
      <c r="R73" s="1" t="n"/>
      <c r="S73" s="1" t="n"/>
      <c r="T73" s="1" t="n"/>
    </row>
    <row r="74">
      <c r="B74" s="3" t="n"/>
      <c r="C74" s="3" t="n"/>
      <c r="D74" s="3" t="n"/>
      <c r="E74" s="5" t="n"/>
      <c r="H74" s="6" t="n"/>
      <c r="I74" s="3" t="n"/>
      <c r="J74" s="3" t="n"/>
      <c r="K74" s="1" t="n"/>
      <c r="L74" s="41" t="n"/>
      <c r="R74" s="1" t="n"/>
      <c r="S74" s="1" t="n"/>
      <c r="T74" s="1" t="n"/>
    </row>
    <row r="75">
      <c r="B75" s="3" t="n"/>
      <c r="C75" s="3" t="n"/>
      <c r="D75" s="3" t="n"/>
      <c r="E75" s="5" t="n"/>
      <c r="H75" s="6" t="n"/>
      <c r="I75" s="3" t="n"/>
      <c r="J75" s="3" t="n"/>
      <c r="K75" s="1" t="n"/>
      <c r="L75" s="41" t="n"/>
      <c r="R75" s="1" t="n"/>
      <c r="S75" s="1" t="n"/>
      <c r="T75" s="1" t="n"/>
    </row>
    <row r="76">
      <c r="B76" s="3" t="n"/>
      <c r="C76" s="3" t="n"/>
      <c r="D76" s="3" t="n"/>
      <c r="E76" s="5" t="n"/>
      <c r="H76" s="6" t="n"/>
      <c r="I76" s="3" t="n"/>
      <c r="J76" s="3" t="n"/>
      <c r="K76" s="1" t="n"/>
      <c r="L76" s="41" t="n"/>
      <c r="R76" s="1" t="n"/>
      <c r="S76" s="1" t="n"/>
      <c r="T76" s="1" t="n"/>
    </row>
    <row r="77">
      <c r="B77" s="3" t="n"/>
      <c r="C77" s="3" t="n"/>
      <c r="D77" s="3" t="n"/>
      <c r="E77" s="5" t="n"/>
      <c r="H77" s="6" t="n"/>
      <c r="I77" s="3" t="n"/>
      <c r="J77" s="3" t="n"/>
      <c r="K77" s="1" t="n"/>
      <c r="L77" s="41" t="n"/>
      <c r="R77" s="8" t="n"/>
      <c r="S77" s="8" t="n"/>
      <c r="T77" s="1" t="n"/>
    </row>
    <row r="78">
      <c r="B78" s="3" t="n"/>
      <c r="C78" s="3" t="n"/>
      <c r="D78" s="3" t="n"/>
      <c r="E78" s="5" t="n"/>
      <c r="H78" s="6" t="n"/>
      <c r="I78" s="3" t="n"/>
      <c r="J78" s="3" t="n"/>
      <c r="K78" s="1" t="n"/>
      <c r="L78" s="41" t="n"/>
      <c r="R78" s="8" t="n"/>
      <c r="S78" s="8" t="n"/>
      <c r="T78" s="1" t="n"/>
    </row>
    <row r="79" customFormat="1" s="8">
      <c r="B79" s="9" t="n"/>
      <c r="C79" s="9" t="n"/>
      <c r="D79" s="9" t="n"/>
      <c r="E79" s="11" t="n"/>
      <c r="F79" s="4" t="n"/>
      <c r="G79" s="4" t="n"/>
      <c r="H79" s="12" t="n"/>
      <c r="I79" s="9" t="n"/>
      <c r="J79" s="9" t="n"/>
      <c r="L79" s="41" t="n"/>
      <c r="M79" s="41" t="n"/>
      <c r="N79" s="35" t="n"/>
      <c r="O79" s="35" t="n"/>
      <c r="P79" s="35" t="n"/>
      <c r="Q79" s="35" t="n"/>
      <c r="R79" s="1" t="n"/>
      <c r="S79" s="1" t="n"/>
    </row>
    <row r="80" customFormat="1" s="8">
      <c r="B80" s="9" t="n"/>
      <c r="C80" s="3" t="n"/>
      <c r="D80" s="9" t="n"/>
      <c r="E80" s="11" t="n"/>
      <c r="F80" s="4" t="n"/>
      <c r="G80" s="4" t="n"/>
      <c r="H80" s="12" t="n"/>
      <c r="I80" s="9" t="n"/>
      <c r="J80" s="9" t="n"/>
      <c r="L80" s="41" t="n"/>
      <c r="M80" s="41" t="n"/>
      <c r="N80" s="35" t="n"/>
      <c r="O80" s="35" t="n"/>
      <c r="P80" s="35" t="n"/>
      <c r="Q80" s="35" t="n"/>
      <c r="R80" s="1" t="n"/>
      <c r="S80" s="1" t="n"/>
    </row>
    <row r="81">
      <c r="B81" s="3" t="n"/>
      <c r="C81" s="3" t="n"/>
      <c r="D81" s="3" t="n"/>
      <c r="E81" s="5" t="n"/>
      <c r="H81" s="6" t="n"/>
      <c r="I81" s="3" t="n"/>
      <c r="J81" s="3" t="n"/>
      <c r="K81" s="1" t="n"/>
      <c r="L81" s="41" t="n"/>
      <c r="R81" s="1" t="n"/>
      <c r="S81" s="1" t="n"/>
      <c r="T81" s="1" t="n"/>
    </row>
    <row r="82">
      <c r="B82" s="3" t="n"/>
      <c r="C82" s="3" t="n"/>
      <c r="D82" s="3" t="n"/>
      <c r="E82" s="5" t="n"/>
      <c r="H82" s="6" t="n"/>
      <c r="I82" s="3" t="n"/>
      <c r="J82" s="3" t="n"/>
      <c r="K82" s="1" t="n"/>
      <c r="L82" s="41" t="n"/>
      <c r="R82" s="1" t="n"/>
      <c r="S82" s="1" t="n"/>
      <c r="T82" s="1" t="n"/>
    </row>
    <row r="83">
      <c r="B83" s="3" t="n"/>
      <c r="C83" s="3" t="n"/>
      <c r="D83" s="3" t="n"/>
      <c r="E83" s="5" t="n"/>
      <c r="H83" s="6" t="n"/>
      <c r="I83" s="3" t="n"/>
      <c r="J83" s="3" t="n"/>
      <c r="K83" s="1" t="n"/>
      <c r="L83" s="41" t="n"/>
      <c r="R83" s="1" t="n"/>
      <c r="S83" s="1" t="n"/>
      <c r="T83" s="1" t="n"/>
    </row>
    <row r="84">
      <c r="B84" s="3" t="n"/>
      <c r="C84" s="3" t="n"/>
      <c r="D84" s="3" t="n"/>
      <c r="E84" s="5" t="n"/>
      <c r="H84" s="6" t="n"/>
      <c r="I84" s="3" t="n"/>
      <c r="J84" s="3" t="n"/>
      <c r="K84" s="1" t="n"/>
      <c r="L84" s="41" t="n"/>
      <c r="R84" s="1" t="n"/>
      <c r="S84" s="1" t="n"/>
      <c r="T84" s="1" t="n"/>
    </row>
    <row r="85">
      <c r="B85" s="3" t="n"/>
      <c r="C85" s="3" t="n"/>
      <c r="D85" s="3" t="n"/>
      <c r="E85" s="5" t="n"/>
      <c r="H85" s="6" t="n"/>
      <c r="I85" s="3" t="n"/>
      <c r="J85" s="3" t="n"/>
      <c r="K85" s="1" t="n"/>
      <c r="L85" s="41" t="n"/>
      <c r="R85" s="1" t="n"/>
      <c r="S85" s="1" t="n"/>
      <c r="T85" s="1" t="n"/>
    </row>
    <row r="86">
      <c r="B86" s="3" t="n"/>
      <c r="C86" s="3" t="n"/>
      <c r="D86" s="3" t="n"/>
      <c r="E86" s="5" t="n"/>
      <c r="H86" s="6" t="n"/>
      <c r="I86" s="3" t="n"/>
      <c r="J86" s="3" t="n"/>
      <c r="K86" s="1" t="n"/>
      <c r="L86" s="41" t="n"/>
      <c r="R86" s="8" t="n"/>
      <c r="S86" s="8" t="n"/>
      <c r="T86" s="1" t="n"/>
    </row>
    <row r="87">
      <c r="B87" s="3" t="n"/>
      <c r="C87" s="3" t="n"/>
      <c r="D87" s="3" t="n"/>
      <c r="E87" s="5" t="n"/>
      <c r="H87" s="6" t="n"/>
      <c r="I87" s="3" t="n"/>
      <c r="J87" s="3" t="n"/>
      <c r="K87" s="1" t="n"/>
      <c r="L87" s="41" t="n"/>
      <c r="R87" s="8" t="n"/>
      <c r="S87" s="8" t="n"/>
      <c r="T87" s="1" t="n"/>
    </row>
    <row r="88" customFormat="1" s="8">
      <c r="B88" s="9" t="n"/>
      <c r="C88" s="9" t="n"/>
      <c r="D88" s="9" t="n"/>
      <c r="E88" s="11" t="n"/>
      <c r="F88" s="4" t="n"/>
      <c r="G88" s="4" t="n"/>
      <c r="H88" s="12" t="n"/>
      <c r="I88" s="9" t="n"/>
      <c r="J88" s="9" t="n"/>
      <c r="L88" s="41" t="n"/>
      <c r="M88" s="41" t="n"/>
      <c r="N88" s="35" t="n"/>
      <c r="O88" s="35" t="n"/>
      <c r="P88" s="35" t="n"/>
      <c r="Q88" s="35" t="n"/>
      <c r="R88" s="1" t="n"/>
      <c r="S88" s="1" t="n"/>
    </row>
    <row r="89" customFormat="1" s="8">
      <c r="B89" s="9" t="n"/>
      <c r="C89" s="3" t="n"/>
      <c r="D89" s="9" t="n"/>
      <c r="E89" s="11" t="n"/>
      <c r="F89" s="4" t="n"/>
      <c r="G89" s="4" t="n"/>
      <c r="H89" s="12" t="n"/>
      <c r="I89" s="9" t="n"/>
      <c r="J89" s="9" t="n"/>
      <c r="L89" s="41" t="n"/>
      <c r="M89" s="41" t="n"/>
      <c r="N89" s="35" t="n"/>
      <c r="O89" s="35" t="n"/>
      <c r="P89" s="35" t="n"/>
      <c r="Q89" s="35" t="n"/>
      <c r="R89" s="1" t="n"/>
      <c r="S89" s="1" t="n"/>
    </row>
    <row r="90">
      <c r="B90" s="3" t="n"/>
      <c r="C90" s="3" t="n"/>
      <c r="D90" s="3" t="n"/>
      <c r="E90" s="5" t="n"/>
      <c r="H90" s="6" t="n"/>
      <c r="I90" s="3" t="n"/>
      <c r="J90" s="3" t="n"/>
      <c r="K90" s="1" t="n"/>
      <c r="L90" s="41" t="n"/>
      <c r="R90" s="1" t="n"/>
      <c r="S90" s="1" t="n"/>
      <c r="T90" s="1" t="n"/>
    </row>
    <row r="91">
      <c r="B91" s="3" t="n"/>
      <c r="C91" s="3" t="n"/>
      <c r="D91" s="3" t="n"/>
      <c r="E91" s="5" t="n"/>
      <c r="H91" s="6" t="n"/>
      <c r="I91" s="3" t="n"/>
      <c r="J91" s="3" t="n"/>
      <c r="K91" s="1" t="n"/>
      <c r="L91" s="41" t="n"/>
      <c r="R91" s="1" t="n"/>
      <c r="S91" s="1" t="n"/>
      <c r="T91" s="1" t="n"/>
    </row>
    <row r="92">
      <c r="B92" s="3" t="n"/>
      <c r="C92" s="3" t="n"/>
      <c r="D92" s="3" t="n"/>
      <c r="E92" s="5" t="n"/>
      <c r="H92" s="6" t="n"/>
      <c r="I92" s="3" t="n"/>
      <c r="J92" s="3" t="n"/>
      <c r="K92" s="1" t="n"/>
      <c r="L92" s="41" t="n"/>
      <c r="R92" s="1" t="n"/>
      <c r="S92" s="1" t="n"/>
      <c r="T92" s="1" t="n"/>
    </row>
    <row r="93">
      <c r="B93" s="3" t="n"/>
      <c r="C93" s="3" t="n"/>
      <c r="D93" s="3" t="n"/>
      <c r="E93" s="5" t="n"/>
      <c r="H93" s="6" t="n"/>
      <c r="I93" s="3" t="n"/>
      <c r="J93" s="3" t="n"/>
      <c r="K93" s="1" t="n"/>
      <c r="L93" s="41" t="n"/>
      <c r="R93" s="1" t="n"/>
      <c r="S93" s="1" t="n"/>
      <c r="T93" s="1" t="n"/>
    </row>
    <row r="94">
      <c r="B94" s="3" t="n"/>
      <c r="C94" s="3" t="n"/>
      <c r="D94" s="3" t="n"/>
      <c r="E94" s="5" t="n"/>
      <c r="H94" s="6" t="n"/>
      <c r="I94" s="3" t="n"/>
      <c r="J94" s="3" t="n"/>
      <c r="K94" s="1" t="n"/>
      <c r="L94" s="41" t="n"/>
      <c r="R94" s="1" t="n"/>
      <c r="S94" s="1" t="n"/>
      <c r="T94" s="1" t="n"/>
    </row>
    <row r="95">
      <c r="B95" s="3" t="n"/>
      <c r="C95" s="3" t="n"/>
      <c r="D95" s="3" t="n"/>
      <c r="E95" s="5" t="n"/>
      <c r="H95" s="6" t="n"/>
      <c r="I95" s="3" t="n"/>
      <c r="J95" s="3" t="n"/>
      <c r="K95" s="1" t="n"/>
      <c r="L95" s="41" t="n"/>
      <c r="R95" s="8" t="n"/>
      <c r="S95" s="8" t="n"/>
      <c r="T95" s="1" t="n"/>
    </row>
    <row r="96">
      <c r="B96" s="3" t="n"/>
      <c r="C96" s="3" t="n"/>
      <c r="D96" s="3" t="n"/>
      <c r="E96" s="5" t="n"/>
      <c r="H96" s="6" t="n"/>
      <c r="I96" s="3" t="n"/>
      <c r="J96" s="3" t="n"/>
      <c r="K96" s="1" t="n"/>
      <c r="L96" s="41" t="n"/>
      <c r="R96" s="8" t="n"/>
      <c r="S96" s="8" t="n"/>
      <c r="T96" s="1" t="n"/>
    </row>
    <row r="97" customFormat="1" s="8">
      <c r="B97" s="9" t="n"/>
      <c r="C97" s="9" t="n"/>
      <c r="D97" s="9" t="n"/>
      <c r="E97" s="11" t="n"/>
      <c r="F97" s="4" t="n"/>
      <c r="G97" s="4" t="n"/>
      <c r="H97" s="12" t="n"/>
      <c r="I97" s="9" t="n"/>
      <c r="J97" s="9" t="n"/>
      <c r="L97" s="41" t="n"/>
      <c r="M97" s="41" t="n"/>
      <c r="N97" s="35" t="n"/>
      <c r="O97" s="35" t="n"/>
      <c r="P97" s="35" t="n"/>
      <c r="Q97" s="35" t="n"/>
      <c r="R97" s="1" t="n"/>
      <c r="S97" s="1" t="n"/>
    </row>
    <row r="98" customFormat="1" s="8">
      <c r="B98" s="9" t="n"/>
      <c r="C98" s="3" t="n"/>
      <c r="D98" s="9" t="n"/>
      <c r="E98" s="11" t="n"/>
      <c r="F98" s="4" t="n"/>
      <c r="G98" s="4" t="n"/>
      <c r="H98" s="12" t="n"/>
      <c r="I98" s="9" t="n"/>
      <c r="J98" s="9" t="n"/>
      <c r="L98" s="41" t="n"/>
      <c r="M98" s="41" t="n"/>
      <c r="N98" s="35" t="n"/>
      <c r="O98" s="35" t="n"/>
      <c r="P98" s="35" t="n"/>
      <c r="Q98" s="35" t="n"/>
      <c r="R98" s="1" t="n"/>
      <c r="S98" s="1" t="n"/>
    </row>
    <row r="99">
      <c r="B99" s="3" t="n"/>
      <c r="C99" s="3" t="n"/>
      <c r="D99" s="3" t="n"/>
      <c r="E99" s="5" t="n"/>
      <c r="H99" s="6" t="n"/>
      <c r="I99" s="3" t="n"/>
      <c r="J99" s="3" t="n"/>
      <c r="K99" s="1" t="n"/>
      <c r="L99" s="41" t="n"/>
      <c r="R99" s="1" t="n"/>
      <c r="S99" s="1" t="n"/>
      <c r="T99" s="1" t="n"/>
    </row>
    <row r="100">
      <c r="B100" s="3" t="n"/>
      <c r="C100" s="3" t="n"/>
      <c r="D100" s="3" t="n"/>
      <c r="E100" s="5" t="n"/>
      <c r="H100" s="6" t="n"/>
      <c r="I100" s="3" t="n"/>
      <c r="J100" s="3" t="n"/>
      <c r="K100" s="1" t="n"/>
      <c r="L100" s="41" t="n"/>
      <c r="R100" s="1" t="n"/>
      <c r="S100" s="1" t="n"/>
      <c r="T100" s="1" t="n"/>
    </row>
    <row r="101">
      <c r="B101" s="3" t="n"/>
      <c r="C101" s="3" t="n"/>
      <c r="D101" s="3" t="n"/>
      <c r="E101" s="5" t="n"/>
      <c r="H101" s="6" t="n"/>
      <c r="I101" s="3" t="n"/>
      <c r="J101" s="3" t="n"/>
      <c r="K101" s="1" t="n"/>
      <c r="L101" s="41" t="n"/>
      <c r="R101" s="1" t="n"/>
      <c r="S101" s="1" t="n"/>
      <c r="T101" s="1" t="n"/>
    </row>
    <row r="102">
      <c r="B102" s="3" t="n"/>
      <c r="C102" s="3" t="n"/>
      <c r="D102" s="3" t="n"/>
      <c r="E102" s="5" t="n"/>
      <c r="H102" s="6" t="n"/>
      <c r="I102" s="3" t="n"/>
      <c r="J102" s="3" t="n"/>
      <c r="K102" s="1" t="n"/>
      <c r="L102" s="41" t="n"/>
      <c r="R102" s="1" t="n"/>
      <c r="S102" s="1" t="n"/>
      <c r="T102" s="1" t="n"/>
    </row>
    <row r="103">
      <c r="B103" s="3" t="n"/>
      <c r="C103" s="3" t="n"/>
      <c r="D103" s="3" t="n"/>
      <c r="E103" s="5" t="n"/>
      <c r="H103" s="6" t="n"/>
      <c r="I103" s="3" t="n"/>
      <c r="J103" s="3" t="n"/>
      <c r="K103" s="1" t="n"/>
      <c r="L103" s="41" t="n"/>
      <c r="R103" s="1" t="n"/>
      <c r="S103" s="1" t="n"/>
      <c r="T103" s="1" t="n"/>
    </row>
    <row r="104">
      <c r="B104" s="3" t="n"/>
      <c r="C104" s="3" t="n"/>
      <c r="D104" s="3" t="n"/>
      <c r="E104" s="5" t="n"/>
      <c r="H104" s="6" t="n"/>
      <c r="I104" s="3" t="n"/>
      <c r="J104" s="3" t="n"/>
      <c r="K104" s="1" t="n"/>
      <c r="L104" s="41" t="n"/>
      <c r="R104" s="8" t="n"/>
      <c r="S104" s="8" t="n"/>
      <c r="T104" s="1" t="n"/>
    </row>
    <row r="105">
      <c r="B105" s="3" t="n"/>
      <c r="C105" s="3" t="n"/>
      <c r="D105" s="3" t="n"/>
      <c r="E105" s="5" t="n"/>
      <c r="H105" s="6" t="n"/>
      <c r="I105" s="3" t="n"/>
      <c r="J105" s="3" t="n"/>
      <c r="K105" s="1" t="n"/>
      <c r="L105" s="41" t="n"/>
      <c r="R105" s="8" t="n"/>
      <c r="S105" s="8" t="n"/>
      <c r="T105" s="1" t="n"/>
    </row>
    <row r="106" customFormat="1" s="8">
      <c r="B106" s="9" t="n"/>
      <c r="C106" s="9" t="n"/>
      <c r="D106" s="9" t="n"/>
      <c r="E106" s="11" t="n"/>
      <c r="F106" s="4" t="n"/>
      <c r="G106" s="4" t="n"/>
      <c r="H106" s="12" t="n"/>
      <c r="I106" s="9" t="n"/>
      <c r="J106" s="9" t="n"/>
      <c r="L106" s="41" t="n"/>
      <c r="M106" s="41" t="n"/>
      <c r="N106" s="35" t="n"/>
      <c r="O106" s="35" t="n"/>
      <c r="P106" s="35" t="n"/>
      <c r="Q106" s="35" t="n"/>
      <c r="R106" s="1" t="n"/>
      <c r="S106" s="1" t="n"/>
    </row>
    <row r="107" customFormat="1" s="8">
      <c r="B107" s="9" t="n"/>
      <c r="C107" s="3" t="n"/>
      <c r="D107" s="9" t="n"/>
      <c r="E107" s="11" t="n"/>
      <c r="F107" s="4" t="n"/>
      <c r="G107" s="4" t="n"/>
      <c r="H107" s="12" t="n"/>
      <c r="I107" s="9" t="n"/>
      <c r="J107" s="9" t="n"/>
      <c r="L107" s="41" t="n"/>
      <c r="M107" s="41" t="n"/>
      <c r="N107" s="35" t="n"/>
      <c r="O107" s="35" t="n"/>
      <c r="P107" s="35" t="n"/>
      <c r="Q107" s="35" t="n"/>
      <c r="R107" s="1" t="n"/>
      <c r="S107" s="1" t="n"/>
    </row>
    <row r="108">
      <c r="B108" s="3" t="n"/>
      <c r="C108" s="3" t="n"/>
      <c r="D108" s="3" t="n"/>
      <c r="E108" s="5" t="n"/>
      <c r="H108" s="6" t="n"/>
      <c r="I108" s="3" t="n"/>
      <c r="J108" s="3" t="n"/>
      <c r="K108" s="1" t="n"/>
      <c r="L108" s="41" t="n"/>
      <c r="R108" s="1" t="n"/>
      <c r="S108" s="1" t="n"/>
      <c r="T108" s="1" t="n"/>
    </row>
    <row r="109">
      <c r="B109" s="3" t="n"/>
      <c r="C109" s="3" t="n"/>
      <c r="D109" s="3" t="n"/>
      <c r="E109" s="5" t="n"/>
      <c r="H109" s="6" t="n"/>
      <c r="I109" s="3" t="n"/>
      <c r="J109" s="3" t="n"/>
      <c r="K109" s="1" t="n"/>
      <c r="L109" s="41" t="n"/>
      <c r="R109" s="1" t="n"/>
      <c r="S109" s="1" t="n"/>
      <c r="T109" s="1" t="n"/>
    </row>
    <row r="110">
      <c r="B110" s="3" t="n"/>
      <c r="C110" s="3" t="n"/>
      <c r="D110" s="3" t="n"/>
      <c r="E110" s="5" t="n"/>
      <c r="H110" s="6" t="n"/>
      <c r="I110" s="3" t="n"/>
      <c r="J110" s="3" t="n"/>
      <c r="K110" s="1" t="n"/>
      <c r="L110" s="41" t="n"/>
      <c r="R110" s="1" t="n"/>
      <c r="S110" s="1" t="n"/>
      <c r="T110" s="1" t="n"/>
    </row>
    <row r="111">
      <c r="B111" s="3" t="n"/>
      <c r="C111" s="3" t="n"/>
      <c r="D111" s="3" t="n"/>
      <c r="E111" s="5" t="n"/>
      <c r="H111" s="6" t="n"/>
      <c r="I111" s="3" t="n"/>
      <c r="J111" s="3" t="n"/>
      <c r="K111" s="1" t="n"/>
      <c r="L111" s="41" t="n"/>
      <c r="R111" s="1" t="n"/>
      <c r="S111" s="1" t="n"/>
      <c r="T111" s="1" t="n"/>
    </row>
    <row r="112">
      <c r="B112" s="3" t="n"/>
      <c r="C112" s="3" t="n"/>
      <c r="D112" s="3" t="n"/>
      <c r="E112" s="5" t="n"/>
      <c r="H112" s="6" t="n"/>
      <c r="I112" s="3" t="n"/>
      <c r="J112" s="3" t="n"/>
      <c r="K112" s="1" t="n"/>
      <c r="L112" s="41" t="n"/>
      <c r="R112" s="1" t="n"/>
      <c r="S112" s="1" t="n"/>
      <c r="T112" s="1" t="n"/>
    </row>
    <row r="113">
      <c r="B113" s="3" t="n"/>
      <c r="C113" s="3" t="n"/>
      <c r="D113" s="3" t="n"/>
      <c r="E113" s="5" t="n"/>
      <c r="H113" s="6" t="n"/>
      <c r="I113" s="3" t="n"/>
      <c r="J113" s="3" t="n"/>
      <c r="K113" s="1" t="n"/>
      <c r="L113" s="41" t="n"/>
      <c r="R113" s="8" t="n"/>
      <c r="S113" s="8" t="n"/>
      <c r="T113" s="1" t="n"/>
    </row>
    <row r="114">
      <c r="B114" s="3" t="n"/>
      <c r="C114" s="3" t="n"/>
      <c r="D114" s="3" t="n"/>
      <c r="E114" s="5" t="n"/>
      <c r="H114" s="6" t="n"/>
      <c r="I114" s="3" t="n"/>
      <c r="J114" s="3" t="n"/>
      <c r="K114" s="1" t="n"/>
      <c r="L114" s="41" t="n"/>
      <c r="R114" s="8" t="n"/>
      <c r="S114" s="8" t="n"/>
      <c r="T114" s="1" t="n"/>
    </row>
    <row r="115" customFormat="1" s="8">
      <c r="B115" s="9" t="n"/>
      <c r="C115" s="9" t="n"/>
      <c r="D115" s="9" t="n"/>
      <c r="E115" s="11" t="n"/>
      <c r="F115" s="4" t="n"/>
      <c r="G115" s="4" t="n"/>
      <c r="H115" s="12" t="n"/>
      <c r="I115" s="9" t="n"/>
      <c r="J115" s="9" t="n"/>
      <c r="L115" s="41" t="n"/>
      <c r="M115" s="41" t="n"/>
      <c r="N115" s="35" t="n"/>
      <c r="O115" s="35" t="n"/>
      <c r="P115" s="35" t="n"/>
      <c r="Q115" s="35" t="n"/>
      <c r="R115" s="1" t="n"/>
      <c r="S115" s="1" t="n"/>
    </row>
    <row r="116" customFormat="1" s="8">
      <c r="B116" s="9" t="n"/>
      <c r="C116" s="3" t="n"/>
      <c r="D116" s="9" t="n"/>
      <c r="E116" s="11" t="n"/>
      <c r="F116" s="4" t="n"/>
      <c r="G116" s="4" t="n"/>
      <c r="H116" s="12" t="n"/>
      <c r="I116" s="9" t="n"/>
      <c r="J116" s="9" t="n"/>
      <c r="L116" s="41" t="n"/>
      <c r="M116" s="41" t="n"/>
      <c r="N116" s="35" t="n"/>
      <c r="O116" s="35" t="n"/>
      <c r="P116" s="35" t="n"/>
      <c r="Q116" s="35" t="n"/>
      <c r="R116" s="1" t="n"/>
      <c r="S116" s="1" t="n"/>
    </row>
    <row r="117">
      <c r="B117" s="3" t="n"/>
      <c r="C117" s="3" t="n"/>
      <c r="D117" s="3" t="n"/>
      <c r="E117" s="5" t="n"/>
      <c r="H117" s="6" t="n"/>
      <c r="I117" s="3" t="n"/>
      <c r="J117" s="3" t="n"/>
      <c r="K117" s="1" t="n"/>
      <c r="L117" s="41" t="n"/>
      <c r="R117" s="1" t="n"/>
      <c r="S117" s="1" t="n"/>
      <c r="T117" s="1" t="n"/>
    </row>
    <row r="118">
      <c r="B118" s="3" t="n"/>
      <c r="C118" s="3" t="n"/>
      <c r="D118" s="3" t="n"/>
      <c r="E118" s="5" t="n"/>
      <c r="H118" s="6" t="n"/>
      <c r="I118" s="3" t="n"/>
      <c r="J118" s="3" t="n"/>
      <c r="K118" s="1" t="n"/>
      <c r="L118" s="41" t="n"/>
      <c r="R118" s="1" t="n"/>
      <c r="S118" s="1" t="n"/>
      <c r="T118" s="1" t="n"/>
    </row>
    <row r="119">
      <c r="B119" s="3" t="n"/>
      <c r="C119" s="3" t="n"/>
      <c r="D119" s="3" t="n"/>
      <c r="E119" s="5" t="n"/>
      <c r="H119" s="6" t="n"/>
      <c r="I119" s="3" t="n"/>
      <c r="J119" s="3" t="n"/>
      <c r="K119" s="1" t="n"/>
      <c r="L119" s="41" t="n"/>
      <c r="R119" s="1" t="n"/>
      <c r="S119" s="1" t="n"/>
      <c r="T119" s="1" t="n"/>
    </row>
    <row r="120">
      <c r="B120" s="3" t="n"/>
      <c r="C120" s="3" t="n"/>
      <c r="D120" s="3" t="n"/>
      <c r="E120" s="5" t="n"/>
      <c r="H120" s="6" t="n"/>
      <c r="I120" s="3" t="n"/>
      <c r="J120" s="3" t="n"/>
      <c r="K120" s="1" t="n"/>
      <c r="L120" s="41" t="n"/>
      <c r="R120" s="1" t="n"/>
      <c r="S120" s="1" t="n"/>
      <c r="T120" s="1" t="n"/>
    </row>
    <row r="121">
      <c r="B121" s="3" t="n"/>
      <c r="C121" s="3" t="n"/>
      <c r="D121" s="3" t="n"/>
      <c r="E121" s="5" t="n"/>
      <c r="H121" s="6" t="n"/>
      <c r="I121" s="3" t="n"/>
      <c r="J121" s="3" t="n"/>
      <c r="K121" s="1" t="n"/>
      <c r="L121" s="41" t="n"/>
      <c r="R121" s="1" t="n"/>
      <c r="S121" s="1" t="n"/>
      <c r="T121" s="1" t="n"/>
    </row>
    <row r="122">
      <c r="B122" s="3" t="n"/>
      <c r="C122" s="3" t="n"/>
      <c r="D122" s="3" t="n"/>
      <c r="E122" s="5" t="n"/>
      <c r="H122" s="6" t="n"/>
      <c r="I122" s="3" t="n"/>
      <c r="J122" s="3" t="n"/>
      <c r="K122" s="1" t="n"/>
      <c r="L122" s="41" t="n"/>
      <c r="R122" s="8" t="n"/>
      <c r="S122" s="8" t="n"/>
      <c r="T122" s="1" t="n"/>
    </row>
    <row r="123">
      <c r="B123" s="3" t="n"/>
      <c r="C123" s="3" t="n"/>
      <c r="D123" s="3" t="n"/>
      <c r="E123" s="5" t="n"/>
      <c r="H123" s="6" t="n"/>
      <c r="I123" s="3" t="n"/>
      <c r="J123" s="3" t="n"/>
      <c r="K123" s="1" t="n"/>
      <c r="L123" s="41" t="n"/>
      <c r="R123" s="8" t="n"/>
      <c r="S123" s="8" t="n"/>
      <c r="T123" s="1" t="n"/>
    </row>
    <row r="124" customFormat="1" s="8">
      <c r="B124" s="9" t="n"/>
      <c r="C124" s="9" t="n"/>
      <c r="D124" s="9" t="n"/>
      <c r="E124" s="11" t="n"/>
      <c r="F124" s="4" t="n"/>
      <c r="G124" s="4" t="n"/>
      <c r="H124" s="12" t="n"/>
      <c r="I124" s="9" t="n"/>
      <c r="J124" s="9" t="n"/>
      <c r="L124" s="41" t="n"/>
      <c r="M124" s="41" t="n"/>
      <c r="N124" s="35" t="n"/>
      <c r="O124" s="35" t="n"/>
      <c r="P124" s="35" t="n"/>
      <c r="Q124" s="35" t="n"/>
      <c r="R124" s="1" t="n"/>
      <c r="S124" s="1" t="n"/>
    </row>
    <row r="125" customFormat="1" s="8">
      <c r="B125" s="9" t="n"/>
      <c r="C125" s="3" t="n"/>
      <c r="D125" s="9" t="n"/>
      <c r="E125" s="11" t="n"/>
      <c r="F125" s="4" t="n"/>
      <c r="G125" s="4" t="n"/>
      <c r="H125" s="12" t="n"/>
      <c r="I125" s="9" t="n"/>
      <c r="J125" s="9" t="n"/>
      <c r="L125" s="41" t="n"/>
      <c r="M125" s="41" t="n"/>
      <c r="N125" s="35" t="n"/>
      <c r="O125" s="35" t="n"/>
      <c r="P125" s="35" t="n"/>
      <c r="Q125" s="35" t="n"/>
      <c r="R125" s="1" t="n"/>
      <c r="S125" s="1" t="n"/>
    </row>
    <row r="126">
      <c r="B126" s="3" t="n"/>
      <c r="C126" s="3" t="n"/>
      <c r="D126" s="3" t="n"/>
      <c r="E126" s="5" t="n"/>
      <c r="H126" s="6" t="n"/>
      <c r="I126" s="3" t="n"/>
      <c r="J126" s="3" t="n"/>
      <c r="K126" s="1" t="n"/>
      <c r="L126" s="41" t="n"/>
      <c r="R126" s="1" t="n"/>
      <c r="S126" s="1" t="n"/>
      <c r="T126" s="1" t="n"/>
    </row>
    <row r="127">
      <c r="B127" s="3" t="n"/>
      <c r="C127" s="3" t="n"/>
      <c r="D127" s="3" t="n"/>
      <c r="E127" s="5" t="n"/>
      <c r="H127" s="6" t="n"/>
      <c r="I127" s="3" t="n"/>
      <c r="J127" s="3" t="n"/>
      <c r="K127" s="1" t="n"/>
      <c r="L127" s="41" t="n"/>
      <c r="R127" s="1" t="n"/>
      <c r="S127" s="1" t="n"/>
      <c r="T127" s="1" t="n"/>
    </row>
    <row r="128">
      <c r="B128" s="3" t="n"/>
      <c r="C128" s="3" t="n"/>
      <c r="D128" s="3" t="n"/>
      <c r="E128" s="5" t="n"/>
      <c r="H128" s="6" t="n"/>
      <c r="I128" s="3" t="n"/>
      <c r="J128" s="3" t="n"/>
      <c r="K128" s="1" t="n"/>
      <c r="L128" s="41" t="n"/>
      <c r="R128" s="1" t="n"/>
      <c r="S128" s="1" t="n"/>
      <c r="T128" s="1" t="n"/>
    </row>
    <row r="129">
      <c r="B129" s="3" t="n"/>
      <c r="C129" s="3" t="n"/>
      <c r="D129" s="3" t="n"/>
      <c r="E129" s="5" t="n"/>
      <c r="H129" s="6" t="n"/>
      <c r="I129" s="3" t="n"/>
      <c r="J129" s="3" t="n"/>
      <c r="K129" s="1" t="n"/>
      <c r="L129" s="41" t="n"/>
      <c r="R129" s="1" t="n"/>
      <c r="S129" s="1" t="n"/>
      <c r="T129" s="1" t="n"/>
    </row>
    <row r="130">
      <c r="B130" s="3" t="n"/>
      <c r="C130" s="3" t="n"/>
      <c r="D130" s="3" t="n"/>
      <c r="E130" s="5" t="n"/>
      <c r="H130" s="6" t="n"/>
      <c r="I130" s="3" t="n"/>
      <c r="J130" s="3" t="n"/>
      <c r="K130" s="1" t="n"/>
      <c r="L130" s="41" t="n"/>
      <c r="R130" s="1" t="n"/>
      <c r="S130" s="1" t="n"/>
      <c r="T130" s="1" t="n"/>
    </row>
    <row r="131">
      <c r="B131" s="3" t="n"/>
      <c r="C131" s="3" t="n"/>
      <c r="D131" s="3" t="n"/>
      <c r="E131" s="5" t="n"/>
      <c r="H131" s="6" t="n"/>
      <c r="I131" s="3" t="n"/>
      <c r="J131" s="3" t="n"/>
      <c r="K131" s="1" t="n"/>
      <c r="L131" s="41" t="n"/>
      <c r="R131" s="8" t="n"/>
      <c r="S131" s="8" t="n"/>
      <c r="T131" s="1" t="n"/>
    </row>
    <row r="132">
      <c r="B132" s="3" t="n"/>
      <c r="C132" s="3" t="n"/>
      <c r="D132" s="3" t="n"/>
      <c r="E132" s="5" t="n"/>
      <c r="H132" s="6" t="n"/>
      <c r="I132" s="3" t="n"/>
      <c r="J132" s="3" t="n"/>
      <c r="K132" s="1" t="n"/>
      <c r="L132" s="41" t="n"/>
      <c r="R132" s="8" t="n"/>
      <c r="S132" s="8" t="n"/>
      <c r="T132" s="1" t="n"/>
    </row>
    <row r="133" customFormat="1" s="8">
      <c r="B133" s="9" t="n"/>
      <c r="C133" s="9" t="n"/>
      <c r="D133" s="9" t="n"/>
      <c r="E133" s="11" t="n"/>
      <c r="F133" s="4" t="n"/>
      <c r="G133" s="4" t="n"/>
      <c r="H133" s="12" t="n"/>
      <c r="I133" s="9" t="n"/>
      <c r="J133" s="9" t="n"/>
      <c r="L133" s="41" t="n"/>
      <c r="M133" s="41" t="n"/>
      <c r="N133" s="35" t="n"/>
      <c r="O133" s="35" t="n"/>
      <c r="P133" s="35" t="n"/>
      <c r="Q133" s="35" t="n"/>
      <c r="R133" s="1" t="n"/>
      <c r="S133" s="1" t="n"/>
    </row>
    <row r="134" customFormat="1" s="8">
      <c r="B134" s="9" t="n"/>
      <c r="C134" s="3" t="n"/>
      <c r="D134" s="9" t="n"/>
      <c r="E134" s="11" t="n"/>
      <c r="F134" s="4" t="n"/>
      <c r="G134" s="4" t="n"/>
      <c r="H134" s="12" t="n"/>
      <c r="I134" s="9" t="n"/>
      <c r="J134" s="9" t="n"/>
      <c r="L134" s="41" t="n"/>
      <c r="M134" s="41" t="n"/>
      <c r="N134" s="35" t="n"/>
      <c r="O134" s="35" t="n"/>
      <c r="P134" s="35" t="n"/>
      <c r="Q134" s="35" t="n"/>
      <c r="R134" s="1" t="n"/>
      <c r="S134" s="1" t="n"/>
    </row>
    <row r="135">
      <c r="B135" s="3" t="n"/>
      <c r="C135" s="3" t="n"/>
      <c r="D135" s="3" t="n"/>
      <c r="E135" s="5" t="n"/>
      <c r="H135" s="6" t="n"/>
      <c r="I135" s="3" t="n"/>
      <c r="J135" s="3" t="n"/>
      <c r="K135" s="1" t="n"/>
      <c r="L135" s="41" t="n"/>
      <c r="R135" s="1" t="n"/>
      <c r="S135" s="1" t="n"/>
      <c r="T135" s="1" t="n"/>
    </row>
    <row r="136">
      <c r="B136" s="3" t="n"/>
      <c r="C136" s="3" t="n"/>
      <c r="D136" s="3" t="n"/>
      <c r="E136" s="5" t="n"/>
      <c r="H136" s="6" t="n"/>
      <c r="I136" s="3" t="n"/>
      <c r="J136" s="3" t="n"/>
      <c r="K136" s="1" t="n"/>
      <c r="L136" s="41" t="n"/>
      <c r="R136" s="1" t="n"/>
      <c r="S136" s="1" t="n"/>
      <c r="T136" s="1" t="n"/>
    </row>
    <row r="137">
      <c r="B137" s="3" t="n"/>
      <c r="C137" s="3" t="n"/>
      <c r="D137" s="3" t="n"/>
      <c r="E137" s="5" t="n"/>
      <c r="H137" s="6" t="n"/>
      <c r="I137" s="3" t="n"/>
      <c r="J137" s="3" t="n"/>
      <c r="K137" s="1" t="n"/>
      <c r="L137" s="41" t="n"/>
      <c r="R137" s="1" t="n"/>
      <c r="S137" s="1" t="n"/>
      <c r="T137" s="1" t="n"/>
    </row>
    <row r="138">
      <c r="B138" s="3" t="n"/>
      <c r="C138" s="3" t="n"/>
      <c r="D138" s="3" t="n"/>
      <c r="E138" s="5" t="n"/>
      <c r="H138" s="6" t="n"/>
      <c r="I138" s="3" t="n"/>
      <c r="J138" s="3" t="n"/>
      <c r="K138" s="1" t="n"/>
      <c r="L138" s="41" t="n"/>
      <c r="R138" s="1" t="n"/>
      <c r="S138" s="1" t="n"/>
      <c r="T138" s="1" t="n"/>
    </row>
    <row r="139">
      <c r="B139" s="3" t="n"/>
      <c r="C139" s="3" t="n"/>
      <c r="D139" s="3" t="n"/>
      <c r="E139" s="5" t="n"/>
      <c r="H139" s="6" t="n"/>
      <c r="I139" s="3" t="n"/>
      <c r="J139" s="3" t="n"/>
      <c r="K139" s="1" t="n"/>
      <c r="L139" s="41" t="n"/>
      <c r="R139" s="1" t="n"/>
      <c r="S139" s="1" t="n"/>
      <c r="T139" s="1" t="n"/>
    </row>
    <row r="140">
      <c r="B140" s="3" t="n"/>
      <c r="C140" s="3" t="n"/>
      <c r="D140" s="3" t="n"/>
      <c r="E140" s="5" t="n"/>
      <c r="H140" s="6" t="n"/>
      <c r="I140" s="3" t="n"/>
      <c r="J140" s="3" t="n"/>
      <c r="K140" s="1" t="n"/>
      <c r="L140" s="41" t="n"/>
      <c r="R140" s="8" t="n"/>
      <c r="S140" s="8" t="n"/>
      <c r="T140" s="1" t="n"/>
    </row>
    <row r="141">
      <c r="B141" s="3" t="n"/>
      <c r="C141" s="3" t="n"/>
      <c r="D141" s="3" t="n"/>
      <c r="E141" s="5" t="n"/>
      <c r="H141" s="6" t="n"/>
      <c r="I141" s="3" t="n"/>
      <c r="J141" s="3" t="n"/>
      <c r="K141" s="1" t="n"/>
      <c r="L141" s="41" t="n"/>
      <c r="R141" s="8" t="n"/>
      <c r="S141" s="8" t="n"/>
      <c r="T141" s="1" t="n"/>
    </row>
    <row r="142" customFormat="1" s="8">
      <c r="B142" s="9" t="n"/>
      <c r="C142" s="9" t="n"/>
      <c r="D142" s="9" t="n"/>
      <c r="E142" s="11" t="n"/>
      <c r="F142" s="4" t="n"/>
      <c r="G142" s="4" t="n"/>
      <c r="H142" s="12" t="n"/>
      <c r="I142" s="9" t="n"/>
      <c r="J142" s="9" t="n"/>
      <c r="L142" s="41" t="n"/>
      <c r="M142" s="41" t="n"/>
      <c r="N142" s="35" t="n"/>
      <c r="O142" s="35" t="n"/>
      <c r="P142" s="35" t="n"/>
      <c r="Q142" s="35" t="n"/>
      <c r="R142" s="1" t="n"/>
      <c r="S142" s="1" t="n"/>
    </row>
    <row r="143" customFormat="1" s="8">
      <c r="B143" s="9" t="n"/>
      <c r="C143" s="3" t="n"/>
      <c r="D143" s="9" t="n"/>
      <c r="E143" s="11" t="n"/>
      <c r="F143" s="4" t="n"/>
      <c r="G143" s="4" t="n"/>
      <c r="H143" s="12" t="n"/>
      <c r="I143" s="9" t="n"/>
      <c r="J143" s="9" t="n"/>
      <c r="L143" s="41" t="n"/>
      <c r="M143" s="41" t="n"/>
      <c r="N143" s="35" t="n"/>
      <c r="O143" s="35" t="n"/>
      <c r="P143" s="35" t="n"/>
      <c r="Q143" s="35" t="n"/>
      <c r="R143" s="1" t="n"/>
      <c r="S143" s="1" t="n"/>
    </row>
    <row r="144">
      <c r="B144" s="3" t="n"/>
      <c r="C144" s="3" t="n"/>
      <c r="D144" s="3" t="n"/>
      <c r="E144" s="5" t="n"/>
      <c r="H144" s="6" t="n"/>
      <c r="I144" s="3" t="n"/>
      <c r="J144" s="3" t="n"/>
      <c r="K144" s="1" t="n"/>
      <c r="L144" s="41" t="n"/>
      <c r="R144" s="1" t="n"/>
      <c r="S144" s="1" t="n"/>
      <c r="T144" s="1" t="n"/>
    </row>
    <row r="145">
      <c r="B145" s="3" t="n"/>
      <c r="C145" s="3" t="n"/>
      <c r="D145" s="3" t="n"/>
      <c r="E145" s="5" t="n"/>
      <c r="H145" s="6" t="n"/>
      <c r="I145" s="3" t="n"/>
      <c r="J145" s="3" t="n"/>
      <c r="K145" s="1" t="n"/>
      <c r="L145" s="41" t="n"/>
      <c r="R145" s="1" t="n"/>
      <c r="S145" s="1" t="n"/>
      <c r="T145" s="1" t="n"/>
    </row>
    <row r="146">
      <c r="B146" s="3" t="n"/>
      <c r="C146" s="3" t="n"/>
      <c r="D146" s="3" t="n"/>
      <c r="E146" s="5" t="n"/>
      <c r="H146" s="6" t="n"/>
      <c r="I146" s="3" t="n"/>
      <c r="J146" s="3" t="n"/>
      <c r="K146" s="1" t="n"/>
      <c r="L146" s="41" t="n"/>
      <c r="R146" s="1" t="n"/>
      <c r="S146" s="1" t="n"/>
      <c r="T146" s="1" t="n"/>
    </row>
    <row r="147">
      <c r="B147" s="3" t="n"/>
      <c r="C147" s="3" t="n"/>
      <c r="D147" s="3" t="n"/>
      <c r="E147" s="5" t="n"/>
      <c r="H147" s="6" t="n"/>
      <c r="I147" s="3" t="n"/>
      <c r="J147" s="3" t="n"/>
      <c r="K147" s="1" t="n"/>
      <c r="L147" s="41" t="n"/>
      <c r="R147" s="1" t="n"/>
      <c r="S147" s="1" t="n"/>
      <c r="T147" s="1" t="n"/>
    </row>
    <row r="148">
      <c r="B148" s="3" t="n"/>
      <c r="C148" s="3" t="n"/>
      <c r="D148" s="3" t="n"/>
      <c r="E148" s="5" t="n"/>
      <c r="H148" s="6" t="n"/>
      <c r="I148" s="3" t="n"/>
      <c r="J148" s="3" t="n"/>
      <c r="K148" s="1" t="n"/>
      <c r="L148" s="41" t="n"/>
      <c r="R148" s="1" t="n"/>
      <c r="S148" s="1" t="n"/>
      <c r="T148" s="1" t="n"/>
    </row>
    <row r="149">
      <c r="B149" s="3" t="n"/>
      <c r="C149" s="3" t="n"/>
      <c r="D149" s="3" t="n"/>
      <c r="E149" s="5" t="n"/>
      <c r="H149" s="6" t="n"/>
      <c r="I149" s="3" t="n"/>
      <c r="J149" s="3" t="n"/>
      <c r="K149" s="1" t="n"/>
      <c r="L149" s="41" t="n"/>
      <c r="R149" s="8" t="n"/>
      <c r="S149" s="8" t="n"/>
      <c r="T149" s="1" t="n"/>
    </row>
    <row r="150">
      <c r="B150" s="3" t="n"/>
      <c r="C150" s="3" t="n"/>
      <c r="D150" s="3" t="n"/>
      <c r="E150" s="5" t="n"/>
      <c r="H150" s="6" t="n"/>
      <c r="I150" s="3" t="n"/>
      <c r="J150" s="3" t="n"/>
      <c r="K150" s="1" t="n"/>
      <c r="L150" s="41" t="n"/>
      <c r="R150" s="8" t="n"/>
      <c r="S150" s="8" t="n"/>
      <c r="T150" s="1" t="n"/>
    </row>
    <row r="151" customFormat="1" s="8">
      <c r="B151" s="9" t="n"/>
      <c r="C151" s="9" t="n"/>
      <c r="D151" s="9" t="n"/>
      <c r="E151" s="11" t="n"/>
      <c r="F151" s="4" t="n"/>
      <c r="G151" s="4" t="n"/>
      <c r="H151" s="12" t="n"/>
      <c r="I151" s="9" t="n"/>
      <c r="J151" s="9" t="n"/>
      <c r="L151" s="41" t="n"/>
      <c r="M151" s="41" t="n"/>
      <c r="N151" s="35" t="n"/>
      <c r="O151" s="35" t="n"/>
      <c r="P151" s="35" t="n"/>
      <c r="Q151" s="35" t="n"/>
      <c r="R151" s="1" t="n"/>
      <c r="S151" s="1" t="n"/>
    </row>
    <row r="152" customFormat="1" s="8">
      <c r="B152" s="9" t="n"/>
      <c r="C152" s="3" t="n"/>
      <c r="D152" s="9" t="n"/>
      <c r="E152" s="11" t="n"/>
      <c r="F152" s="4" t="n"/>
      <c r="G152" s="4" t="n"/>
      <c r="H152" s="12" t="n"/>
      <c r="I152" s="9" t="n"/>
      <c r="J152" s="9" t="n"/>
      <c r="L152" s="41" t="n"/>
      <c r="M152" s="41" t="n"/>
      <c r="N152" s="35" t="n"/>
      <c r="O152" s="35" t="n"/>
      <c r="P152" s="35" t="n"/>
      <c r="Q152" s="35" t="n"/>
      <c r="R152" s="1" t="n"/>
      <c r="S152" s="1" t="n"/>
    </row>
    <row r="153">
      <c r="B153" s="3" t="n"/>
      <c r="C153" s="3" t="n"/>
      <c r="D153" s="3" t="n"/>
      <c r="E153" s="5" t="n"/>
      <c r="H153" s="6" t="n"/>
      <c r="I153" s="3" t="n"/>
      <c r="J153" s="3" t="n"/>
      <c r="K153" s="1" t="n"/>
      <c r="L153" s="41" t="n"/>
      <c r="R153" s="1" t="n"/>
      <c r="S153" s="1" t="n"/>
      <c r="T153" s="1" t="n"/>
    </row>
    <row r="154">
      <c r="B154" s="3" t="n"/>
      <c r="C154" s="3" t="n"/>
      <c r="D154" s="3" t="n"/>
      <c r="E154" s="5" t="n"/>
      <c r="H154" s="6" t="n"/>
      <c r="I154" s="3" t="n"/>
      <c r="J154" s="3" t="n"/>
      <c r="K154" s="1" t="n"/>
      <c r="L154" s="41" t="n"/>
      <c r="R154" s="1" t="n"/>
      <c r="S154" s="1" t="n"/>
      <c r="T154" s="1" t="n"/>
    </row>
    <row r="155">
      <c r="B155" s="3" t="n"/>
      <c r="C155" s="3" t="n"/>
      <c r="D155" s="3" t="n"/>
      <c r="E155" s="5" t="n"/>
      <c r="H155" s="6" t="n"/>
      <c r="I155" s="3" t="n"/>
      <c r="J155" s="3" t="n"/>
      <c r="K155" s="1" t="n"/>
      <c r="L155" s="41" t="n"/>
      <c r="R155" s="1" t="n"/>
      <c r="S155" s="1" t="n"/>
      <c r="T155" s="1" t="n"/>
    </row>
    <row r="156">
      <c r="B156" s="3" t="n"/>
      <c r="C156" s="3" t="n"/>
      <c r="D156" s="3" t="n"/>
      <c r="E156" s="5" t="n"/>
      <c r="H156" s="6" t="n"/>
      <c r="I156" s="3" t="n"/>
      <c r="J156" s="3" t="n"/>
      <c r="K156" s="1" t="n"/>
      <c r="L156" s="41" t="n"/>
      <c r="R156" s="1" t="n"/>
      <c r="S156" s="1" t="n"/>
      <c r="T156" s="1" t="n"/>
    </row>
    <row r="157">
      <c r="B157" s="3" t="n"/>
      <c r="C157" s="3" t="n"/>
      <c r="D157" s="3" t="n"/>
      <c r="E157" s="5" t="n"/>
      <c r="H157" s="6" t="n"/>
      <c r="I157" s="3" t="n"/>
      <c r="J157" s="3" t="n"/>
      <c r="K157" s="1" t="n"/>
      <c r="L157" s="41" t="n"/>
      <c r="R157" s="1" t="n"/>
      <c r="S157" s="1" t="n"/>
      <c r="T157" s="1" t="n"/>
    </row>
    <row r="158">
      <c r="B158" s="3" t="n"/>
      <c r="C158" s="3" t="n"/>
      <c r="D158" s="3" t="n"/>
      <c r="E158" s="5" t="n"/>
      <c r="H158" s="6" t="n"/>
      <c r="I158" s="3" t="n"/>
      <c r="J158" s="3" t="n"/>
      <c r="K158" s="1" t="n"/>
      <c r="L158" s="41" t="n"/>
      <c r="R158" s="8" t="n"/>
      <c r="S158" s="8" t="n"/>
      <c r="T158" s="1" t="n"/>
    </row>
    <row r="159">
      <c r="B159" s="3" t="n"/>
      <c r="C159" s="3" t="n"/>
      <c r="D159" s="3" t="n"/>
      <c r="E159" s="5" t="n"/>
      <c r="H159" s="6" t="n"/>
      <c r="I159" s="3" t="n"/>
      <c r="J159" s="3" t="n"/>
      <c r="K159" s="1" t="n"/>
      <c r="L159" s="41" t="n"/>
      <c r="R159" s="8" t="n"/>
      <c r="S159" s="8" t="n"/>
      <c r="T159" s="1" t="n"/>
    </row>
    <row r="160" customFormat="1" s="8">
      <c r="B160" s="9" t="n"/>
      <c r="C160" s="9" t="n"/>
      <c r="D160" s="9" t="n"/>
      <c r="E160" s="11" t="n"/>
      <c r="F160" s="4" t="n"/>
      <c r="G160" s="4" t="n"/>
      <c r="H160" s="12" t="n"/>
      <c r="I160" s="9" t="n"/>
      <c r="J160" s="9" t="n"/>
      <c r="L160" s="41" t="n"/>
      <c r="M160" s="41" t="n"/>
      <c r="N160" s="35" t="n"/>
      <c r="O160" s="35" t="n"/>
      <c r="P160" s="35" t="n"/>
      <c r="Q160" s="35" t="n"/>
      <c r="R160" s="1" t="n"/>
      <c r="S160" s="1" t="n"/>
    </row>
    <row r="161" customFormat="1" s="8">
      <c r="B161" s="9" t="n"/>
      <c r="C161" s="3" t="n"/>
      <c r="D161" s="9" t="n"/>
      <c r="E161" s="11" t="n"/>
      <c r="F161" s="4" t="n"/>
      <c r="G161" s="4" t="n"/>
      <c r="H161" s="12" t="n"/>
      <c r="I161" s="9" t="n"/>
      <c r="J161" s="9" t="n"/>
      <c r="L161" s="41" t="n"/>
      <c r="M161" s="41" t="n"/>
      <c r="N161" s="35" t="n"/>
      <c r="O161" s="35" t="n"/>
      <c r="P161" s="35" t="n"/>
      <c r="Q161" s="35" t="n"/>
      <c r="R161" s="1" t="n"/>
      <c r="S161" s="1" t="n"/>
    </row>
    <row r="162">
      <c r="B162" s="3" t="n"/>
      <c r="C162" s="3" t="n"/>
      <c r="D162" s="3" t="n"/>
      <c r="E162" s="5" t="n"/>
      <c r="H162" s="6" t="n"/>
      <c r="I162" s="3" t="n"/>
      <c r="J162" s="3" t="n"/>
      <c r="K162" s="1" t="n"/>
      <c r="L162" s="41" t="n"/>
      <c r="R162" s="1" t="n"/>
      <c r="S162" s="1" t="n"/>
      <c r="T162" s="1" t="n"/>
    </row>
    <row r="163">
      <c r="B163" s="3" t="n"/>
      <c r="C163" s="3" t="n"/>
      <c r="D163" s="3" t="n"/>
      <c r="E163" s="5" t="n"/>
      <c r="H163" s="6" t="n"/>
      <c r="I163" s="3" t="n"/>
      <c r="J163" s="3" t="n"/>
      <c r="K163" s="1" t="n"/>
      <c r="L163" s="41" t="n"/>
      <c r="R163" s="1" t="n"/>
      <c r="S163" s="1" t="n"/>
      <c r="T163" s="1" t="n"/>
    </row>
    <row r="164">
      <c r="B164" s="3" t="n"/>
      <c r="C164" s="3" t="n"/>
      <c r="D164" s="3" t="n"/>
      <c r="E164" s="5" t="n"/>
      <c r="H164" s="6" t="n"/>
      <c r="I164" s="3" t="n"/>
      <c r="J164" s="3" t="n"/>
      <c r="K164" s="1" t="n"/>
      <c r="L164" s="41" t="n"/>
      <c r="R164" s="1" t="n"/>
      <c r="S164" s="1" t="n"/>
      <c r="T164" s="1" t="n"/>
    </row>
    <row r="165">
      <c r="B165" s="3" t="n"/>
      <c r="C165" s="3" t="n"/>
      <c r="D165" s="3" t="n"/>
      <c r="E165" s="5" t="n"/>
      <c r="H165" s="6" t="n"/>
      <c r="I165" s="3" t="n"/>
      <c r="J165" s="3" t="n"/>
      <c r="K165" s="1" t="n"/>
      <c r="L165" s="41" t="n"/>
      <c r="R165" s="1" t="n"/>
      <c r="S165" s="1" t="n"/>
      <c r="T165" s="1" t="n"/>
    </row>
    <row r="166">
      <c r="B166" s="3" t="n"/>
      <c r="C166" s="3" t="n"/>
      <c r="D166" s="3" t="n"/>
      <c r="E166" s="5" t="n"/>
      <c r="H166" s="6" t="n"/>
      <c r="I166" s="3" t="n"/>
      <c r="J166" s="3" t="n"/>
      <c r="K166" s="1" t="n"/>
      <c r="L166" s="41" t="n"/>
      <c r="R166" s="1" t="n"/>
      <c r="S166" s="1" t="n"/>
      <c r="T166" s="1" t="n"/>
    </row>
    <row r="167">
      <c r="B167" s="3" t="n"/>
      <c r="C167" s="3" t="n"/>
      <c r="D167" s="3" t="n"/>
      <c r="E167" s="5" t="n"/>
      <c r="H167" s="6" t="n"/>
      <c r="I167" s="3" t="n"/>
      <c r="J167" s="3" t="n"/>
      <c r="K167" s="1" t="n"/>
      <c r="L167" s="41" t="n"/>
      <c r="R167" s="8" t="n"/>
      <c r="S167" s="8" t="n"/>
      <c r="T167" s="1" t="n"/>
    </row>
    <row r="168">
      <c r="B168" s="3" t="n"/>
      <c r="C168" s="3" t="n"/>
      <c r="D168" s="3" t="n"/>
      <c r="E168" s="5" t="n"/>
      <c r="H168" s="6" t="n"/>
      <c r="I168" s="3" t="n"/>
      <c r="J168" s="3" t="n"/>
      <c r="K168" s="1" t="n"/>
      <c r="L168" s="41" t="n"/>
      <c r="R168" s="8" t="n"/>
      <c r="S168" s="8" t="n"/>
      <c r="T168" s="1" t="n"/>
    </row>
    <row r="169" customFormat="1" s="8">
      <c r="B169" s="9" t="n"/>
      <c r="C169" s="9" t="n"/>
      <c r="D169" s="9" t="n"/>
      <c r="E169" s="11" t="n"/>
      <c r="F169" s="4" t="n"/>
      <c r="G169" s="4" t="n"/>
      <c r="H169" s="12" t="n"/>
      <c r="I169" s="9" t="n"/>
      <c r="J169" s="9" t="n"/>
      <c r="L169" s="41" t="n"/>
      <c r="M169" s="41" t="n"/>
      <c r="N169" s="35" t="n"/>
      <c r="O169" s="35" t="n"/>
      <c r="P169" s="35" t="n"/>
      <c r="Q169" s="35" t="n"/>
      <c r="R169" s="1" t="n"/>
      <c r="S169" s="1" t="n"/>
    </row>
    <row r="170" customFormat="1" s="8">
      <c r="B170" s="9" t="n"/>
      <c r="C170" s="3" t="n"/>
      <c r="D170" s="9" t="n"/>
      <c r="E170" s="11" t="n"/>
      <c r="F170" s="4" t="n"/>
      <c r="G170" s="4" t="n"/>
      <c r="H170" s="12" t="n"/>
      <c r="I170" s="9" t="n"/>
      <c r="J170" s="9" t="n"/>
      <c r="L170" s="41" t="n"/>
      <c r="M170" s="41" t="n"/>
      <c r="N170" s="35" t="n"/>
      <c r="O170" s="35" t="n"/>
      <c r="P170" s="35" t="n"/>
      <c r="Q170" s="35" t="n"/>
      <c r="R170" s="1" t="n"/>
      <c r="S170" s="1" t="n"/>
    </row>
    <row r="171">
      <c r="B171" s="3" t="n"/>
      <c r="C171" s="3" t="n"/>
      <c r="D171" s="3" t="n"/>
      <c r="E171" s="5" t="n"/>
      <c r="H171" s="6" t="n"/>
      <c r="I171" s="3" t="n"/>
      <c r="J171" s="3" t="n"/>
      <c r="K171" s="1" t="n"/>
      <c r="L171" s="41" t="n"/>
      <c r="R171" s="1" t="n"/>
      <c r="S171" s="1" t="n"/>
      <c r="T171" s="1" t="n"/>
    </row>
    <row r="172">
      <c r="B172" s="3" t="n"/>
      <c r="C172" s="3" t="n"/>
      <c r="D172" s="3" t="n"/>
      <c r="E172" s="5" t="n"/>
      <c r="H172" s="6" t="n"/>
      <c r="I172" s="3" t="n"/>
      <c r="J172" s="3" t="n"/>
      <c r="K172" s="1" t="n"/>
      <c r="L172" s="41" t="n"/>
      <c r="R172" s="1" t="n"/>
      <c r="S172" s="1" t="n"/>
      <c r="T172" s="1" t="n"/>
    </row>
    <row r="173">
      <c r="B173" s="3" t="n"/>
      <c r="C173" s="3" t="n"/>
      <c r="D173" s="3" t="n"/>
      <c r="E173" s="5" t="n"/>
      <c r="H173" s="6" t="n"/>
      <c r="I173" s="3" t="n"/>
      <c r="J173" s="3" t="n"/>
      <c r="K173" s="1" t="n"/>
      <c r="L173" s="41" t="n"/>
      <c r="R173" s="1" t="n"/>
      <c r="S173" s="1" t="n"/>
      <c r="T173" s="1" t="n"/>
    </row>
    <row r="174">
      <c r="B174" s="3" t="n"/>
      <c r="C174" s="3" t="n"/>
      <c r="D174" s="3" t="n"/>
      <c r="E174" s="5" t="n"/>
      <c r="H174" s="6" t="n"/>
      <c r="I174" s="3" t="n"/>
      <c r="J174" s="3" t="n"/>
      <c r="K174" s="1" t="n"/>
      <c r="L174" s="41" t="n"/>
      <c r="R174" s="1" t="n"/>
      <c r="S174" s="1" t="n"/>
      <c r="T174" s="1" t="n"/>
    </row>
    <row r="175">
      <c r="B175" s="3" t="n"/>
      <c r="C175" s="3" t="n"/>
      <c r="D175" s="3" t="n"/>
      <c r="E175" s="5" t="n"/>
      <c r="H175" s="6" t="n"/>
      <c r="I175" s="3" t="n"/>
      <c r="J175" s="3" t="n"/>
      <c r="K175" s="1" t="n"/>
      <c r="L175" s="41" t="n"/>
      <c r="R175" s="1" t="n"/>
      <c r="S175" s="1" t="n"/>
      <c r="T175" s="1" t="n"/>
    </row>
    <row r="176">
      <c r="B176" s="3" t="n"/>
      <c r="C176" s="3" t="n"/>
      <c r="D176" s="3" t="n"/>
      <c r="E176" s="5" t="n"/>
      <c r="H176" s="6" t="n"/>
      <c r="I176" s="3" t="n"/>
      <c r="J176" s="3" t="n"/>
      <c r="K176" s="1" t="n"/>
      <c r="L176" s="41" t="n"/>
      <c r="R176" s="8" t="n"/>
      <c r="S176" s="8" t="n"/>
      <c r="T176" s="1" t="n"/>
    </row>
    <row r="177">
      <c r="B177" s="3" t="n"/>
      <c r="C177" s="3" t="n"/>
      <c r="D177" s="3" t="n"/>
      <c r="E177" s="5" t="n"/>
      <c r="H177" s="6" t="n"/>
      <c r="I177" s="3" t="n"/>
      <c r="J177" s="3" t="n"/>
      <c r="K177" s="1" t="n"/>
      <c r="L177" s="41" t="n"/>
      <c r="R177" s="8" t="n"/>
      <c r="S177" s="8" t="n"/>
      <c r="T177" s="1" t="n"/>
    </row>
    <row r="178" customFormat="1" s="8">
      <c r="B178" s="9" t="n"/>
      <c r="C178" s="9" t="n"/>
      <c r="D178" s="9" t="n"/>
      <c r="E178" s="11" t="n"/>
      <c r="F178" s="4" t="n"/>
      <c r="G178" s="4" t="n"/>
      <c r="H178" s="12" t="n"/>
      <c r="I178" s="9" t="n"/>
      <c r="J178" s="9" t="n"/>
      <c r="L178" s="41" t="n"/>
      <c r="M178" s="41" t="n"/>
      <c r="N178" s="35" t="n"/>
      <c r="O178" s="35" t="n"/>
      <c r="P178" s="35" t="n"/>
      <c r="Q178" s="35" t="n"/>
      <c r="R178" s="1" t="n"/>
      <c r="S178" s="1" t="n"/>
    </row>
    <row r="179" customFormat="1" s="8">
      <c r="B179" s="9" t="n"/>
      <c r="C179" s="3" t="n"/>
      <c r="D179" s="9" t="n"/>
      <c r="E179" s="11" t="n"/>
      <c r="F179" s="4" t="n"/>
      <c r="G179" s="4" t="n"/>
      <c r="H179" s="12" t="n"/>
      <c r="I179" s="9" t="n"/>
      <c r="J179" s="9" t="n"/>
      <c r="L179" s="41" t="n"/>
      <c r="M179" s="41" t="n"/>
      <c r="N179" s="35" t="n"/>
      <c r="O179" s="35" t="n"/>
      <c r="P179" s="35" t="n"/>
      <c r="Q179" s="35" t="n"/>
      <c r="R179" s="1" t="n"/>
      <c r="S179" s="1" t="n"/>
    </row>
    <row r="180">
      <c r="B180" s="3" t="n"/>
      <c r="C180" s="3" t="n"/>
      <c r="D180" s="3" t="n"/>
      <c r="E180" s="5" t="n"/>
      <c r="H180" s="6" t="n"/>
      <c r="I180" s="3" t="n"/>
      <c r="J180" s="3" t="n"/>
      <c r="K180" s="1" t="n"/>
      <c r="L180" s="41" t="n"/>
      <c r="R180" s="1" t="n"/>
      <c r="S180" s="1" t="n"/>
      <c r="T180" s="1" t="n"/>
    </row>
    <row r="181">
      <c r="B181" s="3" t="n"/>
      <c r="C181" s="3" t="n"/>
      <c r="D181" s="3" t="n"/>
      <c r="E181" s="5" t="n"/>
      <c r="H181" s="6" t="n"/>
      <c r="I181" s="3" t="n"/>
      <c r="J181" s="3" t="n"/>
      <c r="K181" s="1" t="n"/>
      <c r="L181" s="41" t="n"/>
      <c r="R181" s="1" t="n"/>
      <c r="S181" s="1" t="n"/>
      <c r="T181" s="1" t="n"/>
    </row>
    <row r="182">
      <c r="B182" s="3" t="n"/>
      <c r="C182" s="3" t="n"/>
      <c r="D182" s="3" t="n"/>
      <c r="E182" s="5" t="n"/>
      <c r="H182" s="6" t="n"/>
      <c r="I182" s="3" t="n"/>
      <c r="J182" s="3" t="n"/>
      <c r="K182" s="1" t="n"/>
      <c r="L182" s="41" t="n"/>
      <c r="R182" s="1" t="n"/>
      <c r="S182" s="1" t="n"/>
      <c r="T182" s="1" t="n"/>
    </row>
    <row r="183">
      <c r="B183" s="3" t="n"/>
      <c r="C183" s="3" t="n"/>
      <c r="D183" s="3" t="n"/>
      <c r="E183" s="5" t="n"/>
      <c r="H183" s="6" t="n"/>
      <c r="I183" s="3" t="n"/>
      <c r="J183" s="3" t="n"/>
      <c r="K183" s="1" t="n"/>
      <c r="L183" s="41" t="n"/>
      <c r="R183" s="1" t="n"/>
      <c r="S183" s="1" t="n"/>
      <c r="T183" s="1" t="n"/>
    </row>
    <row r="184">
      <c r="B184" s="3" t="n"/>
      <c r="C184" s="3" t="n"/>
      <c r="D184" s="3" t="n"/>
      <c r="E184" s="5" t="n"/>
      <c r="H184" s="6" t="n"/>
      <c r="I184" s="3" t="n"/>
      <c r="J184" s="3" t="n"/>
      <c r="K184" s="1" t="n"/>
      <c r="L184" s="41" t="n"/>
      <c r="R184" s="1" t="n"/>
      <c r="S184" s="1" t="n"/>
      <c r="T184" s="1" t="n"/>
    </row>
    <row r="185">
      <c r="B185" s="3" t="n"/>
      <c r="C185" s="3" t="n"/>
      <c r="D185" s="3" t="n"/>
      <c r="E185" s="5" t="n"/>
      <c r="H185" s="6" t="n"/>
      <c r="I185" s="3" t="n"/>
      <c r="J185" s="3" t="n"/>
      <c r="K185" s="1" t="n"/>
      <c r="L185" s="41" t="n"/>
      <c r="R185" s="8" t="n"/>
      <c r="S185" s="8" t="n"/>
      <c r="T185" s="1" t="n"/>
    </row>
    <row r="186">
      <c r="B186" s="3" t="n"/>
      <c r="C186" s="3" t="n"/>
      <c r="D186" s="3" t="n"/>
      <c r="E186" s="5" t="n"/>
      <c r="H186" s="6" t="n"/>
      <c r="I186" s="3" t="n"/>
      <c r="J186" s="3" t="n"/>
      <c r="K186" s="1" t="n"/>
      <c r="L186" s="41" t="n"/>
      <c r="R186" s="8" t="n"/>
      <c r="S186" s="8" t="n"/>
      <c r="T186" s="1" t="n"/>
    </row>
    <row r="187" customFormat="1" s="8">
      <c r="B187" s="9" t="n"/>
      <c r="C187" s="9" t="n"/>
      <c r="D187" s="9" t="n"/>
      <c r="E187" s="11" t="n"/>
      <c r="F187" s="4" t="n"/>
      <c r="G187" s="4" t="n"/>
      <c r="H187" s="12" t="n"/>
      <c r="I187" s="9" t="n"/>
      <c r="J187" s="9" t="n"/>
      <c r="L187" s="41" t="n"/>
      <c r="M187" s="41" t="n"/>
      <c r="N187" s="35" t="n"/>
      <c r="O187" s="35" t="n"/>
      <c r="P187" s="35" t="n"/>
      <c r="Q187" s="35" t="n"/>
      <c r="R187" s="1" t="n"/>
      <c r="S187" s="1" t="n"/>
    </row>
    <row r="188" customFormat="1" s="8">
      <c r="B188" s="9" t="n"/>
      <c r="C188" s="3" t="n"/>
      <c r="D188" s="9" t="n"/>
      <c r="E188" s="11" t="n"/>
      <c r="F188" s="4" t="n"/>
      <c r="G188" s="4" t="n"/>
      <c r="H188" s="12" t="n"/>
      <c r="I188" s="9" t="n"/>
      <c r="J188" s="9" t="n"/>
      <c r="L188" s="41" t="n"/>
      <c r="M188" s="41" t="n"/>
      <c r="N188" s="35" t="n"/>
      <c r="O188" s="35" t="n"/>
      <c r="P188" s="35" t="n"/>
      <c r="Q188" s="35" t="n"/>
      <c r="R188" s="1" t="n"/>
      <c r="S188" s="1" t="n"/>
    </row>
    <row r="189">
      <c r="B189" s="3" t="n"/>
      <c r="C189" s="3" t="n"/>
      <c r="D189" s="3" t="n"/>
      <c r="E189" s="5" t="n"/>
      <c r="H189" s="6" t="n"/>
      <c r="I189" s="3" t="n"/>
      <c r="J189" s="3" t="n"/>
      <c r="K189" s="1" t="n"/>
      <c r="L189" s="41" t="n"/>
      <c r="R189" s="1" t="n"/>
      <c r="S189" s="1" t="n"/>
      <c r="T189" s="1" t="n"/>
    </row>
    <row r="190">
      <c r="B190" s="3" t="n"/>
      <c r="C190" s="3" t="n"/>
      <c r="D190" s="3" t="n"/>
      <c r="E190" s="5" t="n"/>
      <c r="H190" s="6" t="n"/>
      <c r="I190" s="3" t="n"/>
      <c r="J190" s="3" t="n"/>
      <c r="K190" s="1" t="n"/>
      <c r="L190" s="41" t="n"/>
      <c r="R190" s="1" t="n"/>
      <c r="S190" s="1" t="n"/>
      <c r="T190" s="1" t="n"/>
    </row>
    <row r="191">
      <c r="B191" s="3" t="n"/>
      <c r="C191" s="3" t="n"/>
      <c r="D191" s="3" t="n"/>
      <c r="E191" s="5" t="n"/>
      <c r="H191" s="6" t="n"/>
      <c r="I191" s="3" t="n"/>
      <c r="J191" s="3" t="n"/>
      <c r="K191" s="1" t="n"/>
      <c r="L191" s="41" t="n"/>
      <c r="R191" s="1" t="n"/>
      <c r="S191" s="1" t="n"/>
      <c r="T191" s="1" t="n"/>
    </row>
    <row r="192">
      <c r="B192" s="3" t="n"/>
      <c r="C192" s="3" t="n"/>
      <c r="D192" s="3" t="n"/>
      <c r="E192" s="5" t="n"/>
      <c r="H192" s="6" t="n"/>
      <c r="I192" s="3" t="n"/>
      <c r="J192" s="3" t="n"/>
      <c r="K192" s="1" t="n"/>
      <c r="L192" s="41" t="n"/>
      <c r="R192" s="1" t="n"/>
      <c r="S192" s="1" t="n"/>
      <c r="T192" s="1" t="n"/>
    </row>
    <row r="193">
      <c r="B193" s="3" t="n"/>
      <c r="C193" s="3" t="n"/>
      <c r="D193" s="3" t="n"/>
      <c r="E193" s="5" t="n"/>
      <c r="H193" s="6" t="n"/>
      <c r="I193" s="3" t="n"/>
      <c r="J193" s="3" t="n"/>
      <c r="K193" s="1" t="n"/>
      <c r="L193" s="41" t="n"/>
      <c r="R193" s="1" t="n"/>
      <c r="S193" s="1" t="n"/>
      <c r="T193" s="1" t="n"/>
    </row>
    <row r="194">
      <c r="B194" s="3" t="n"/>
      <c r="C194" s="3" t="n"/>
      <c r="D194" s="3" t="n"/>
      <c r="E194" s="5" t="n"/>
      <c r="H194" s="6" t="n"/>
      <c r="I194" s="3" t="n"/>
      <c r="J194" s="3" t="n"/>
      <c r="K194" s="1" t="n"/>
      <c r="L194" s="41" t="n"/>
      <c r="R194" s="8" t="n"/>
      <c r="S194" s="8" t="n"/>
      <c r="T194" s="1" t="n"/>
    </row>
    <row r="195">
      <c r="B195" s="3" t="n"/>
      <c r="C195" s="3" t="n"/>
      <c r="D195" s="3" t="n"/>
      <c r="E195" s="5" t="n"/>
      <c r="H195" s="6" t="n"/>
      <c r="I195" s="3" t="n"/>
      <c r="J195" s="3" t="n"/>
      <c r="K195" s="1" t="n"/>
      <c r="L195" s="41" t="n"/>
      <c r="R195" s="8" t="n"/>
      <c r="S195" s="8" t="n"/>
      <c r="T195" s="1" t="n"/>
    </row>
    <row r="196" customFormat="1" s="8">
      <c r="B196" s="9" t="n"/>
      <c r="C196" s="9" t="n"/>
      <c r="D196" s="9" t="n"/>
      <c r="E196" s="11" t="n"/>
      <c r="F196" s="4" t="n"/>
      <c r="G196" s="4" t="n"/>
      <c r="H196" s="12" t="n"/>
      <c r="I196" s="9" t="n"/>
      <c r="J196" s="9" t="n"/>
      <c r="L196" s="41" t="n"/>
      <c r="M196" s="41" t="n"/>
      <c r="N196" s="35" t="n"/>
      <c r="O196" s="35" t="n"/>
      <c r="P196" s="35" t="n"/>
      <c r="Q196" s="35" t="n"/>
      <c r="R196" s="1" t="n"/>
      <c r="S196" s="1" t="n"/>
    </row>
    <row r="197" customFormat="1" s="8">
      <c r="B197" s="9" t="n"/>
      <c r="C197" s="3" t="n"/>
      <c r="D197" s="9" t="n"/>
      <c r="E197" s="11" t="n"/>
      <c r="F197" s="4" t="n"/>
      <c r="G197" s="4" t="n"/>
      <c r="H197" s="12" t="n"/>
      <c r="I197" s="9" t="n"/>
      <c r="J197" s="9" t="n"/>
      <c r="L197" s="41" t="n"/>
      <c r="M197" s="41" t="n"/>
      <c r="N197" s="35" t="n"/>
      <c r="O197" s="35" t="n"/>
      <c r="P197" s="35" t="n"/>
      <c r="Q197" s="35" t="n"/>
      <c r="R197" s="1" t="n"/>
      <c r="S197" s="1" t="n"/>
    </row>
    <row r="198">
      <c r="B198" s="3" t="n"/>
      <c r="C198" s="3" t="n"/>
      <c r="D198" s="3" t="n"/>
      <c r="E198" s="5" t="n"/>
      <c r="H198" s="6" t="n"/>
      <c r="I198" s="3" t="n"/>
      <c r="J198" s="3" t="n"/>
      <c r="K198" s="1" t="n"/>
      <c r="L198" s="41" t="n"/>
      <c r="R198" s="1" t="n"/>
      <c r="S198" s="1" t="n"/>
      <c r="T198" s="1" t="n"/>
    </row>
    <row r="199">
      <c r="B199" s="3" t="n"/>
      <c r="C199" s="3" t="n"/>
      <c r="D199" s="3" t="n"/>
      <c r="E199" s="5" t="n"/>
      <c r="H199" s="6" t="n"/>
      <c r="I199" s="3" t="n"/>
      <c r="J199" s="3" t="n"/>
      <c r="K199" s="1" t="n"/>
      <c r="L199" s="41" t="n"/>
      <c r="R199" s="1" t="n"/>
      <c r="S199" s="1" t="n"/>
      <c r="T199" s="1" t="n"/>
    </row>
    <row r="200">
      <c r="B200" s="3" t="n"/>
      <c r="C200" s="3" t="n"/>
      <c r="D200" s="3" t="n"/>
      <c r="E200" s="5" t="n"/>
      <c r="H200" s="6" t="n"/>
      <c r="I200" s="3" t="n"/>
      <c r="J200" s="3" t="n"/>
      <c r="K200" s="1" t="n"/>
      <c r="L200" s="41" t="n"/>
      <c r="R200" s="1" t="n"/>
      <c r="S200" s="1" t="n"/>
      <c r="T200" s="1" t="n"/>
    </row>
    <row r="201">
      <c r="B201" s="3" t="n"/>
      <c r="C201" s="3" t="n"/>
      <c r="D201" s="3" t="n"/>
      <c r="E201" s="5" t="n"/>
      <c r="H201" s="6" t="n"/>
      <c r="I201" s="3" t="n"/>
      <c r="J201" s="3" t="n"/>
      <c r="K201" s="1" t="n"/>
      <c r="L201" s="41" t="n"/>
      <c r="R201" s="1" t="n"/>
      <c r="S201" s="1" t="n"/>
      <c r="T201" s="1" t="n"/>
    </row>
    <row r="202">
      <c r="B202" s="3" t="n"/>
      <c r="C202" s="3" t="n"/>
      <c r="D202" s="3" t="n"/>
      <c r="E202" s="5" t="n"/>
      <c r="H202" s="6" t="n"/>
      <c r="I202" s="3" t="n"/>
      <c r="J202" s="3" t="n"/>
      <c r="K202" s="1" t="n"/>
      <c r="L202" s="41" t="n"/>
      <c r="R202" s="1" t="n"/>
      <c r="S202" s="1" t="n"/>
      <c r="T202" s="1" t="n"/>
    </row>
    <row r="203">
      <c r="B203" s="3" t="n"/>
      <c r="C203" s="3" t="n"/>
      <c r="D203" s="3" t="n"/>
      <c r="E203" s="5" t="n"/>
      <c r="H203" s="6" t="n"/>
      <c r="I203" s="3" t="n"/>
      <c r="J203" s="3" t="n"/>
      <c r="K203" s="1" t="n"/>
      <c r="L203" s="41" t="n"/>
      <c r="R203" s="8" t="n"/>
      <c r="S203" s="8" t="n"/>
      <c r="T203" s="1" t="n"/>
    </row>
    <row r="204">
      <c r="B204" s="3" t="n"/>
      <c r="C204" s="3" t="n"/>
      <c r="D204" s="3" t="n"/>
      <c r="E204" s="5" t="n"/>
      <c r="H204" s="6" t="n"/>
      <c r="I204" s="3" t="n"/>
      <c r="J204" s="3" t="n"/>
      <c r="K204" s="1" t="n"/>
      <c r="L204" s="41" t="n"/>
      <c r="R204" s="8" t="n"/>
      <c r="S204" s="8" t="n"/>
      <c r="T204" s="1" t="n"/>
    </row>
    <row r="205" customFormat="1" s="8">
      <c r="B205" s="9" t="n"/>
      <c r="C205" s="9" t="n"/>
      <c r="D205" s="9" t="n"/>
      <c r="E205" s="11" t="n"/>
      <c r="F205" s="4" t="n"/>
      <c r="G205" s="4" t="n"/>
      <c r="H205" s="12" t="n"/>
      <c r="I205" s="9" t="n"/>
      <c r="J205" s="9" t="n"/>
      <c r="L205" s="41" t="n"/>
      <c r="M205" s="41" t="n"/>
      <c r="N205" s="35" t="n"/>
      <c r="O205" s="35" t="n"/>
      <c r="P205" s="35" t="n"/>
      <c r="Q205" s="35" t="n"/>
      <c r="R205" s="1" t="n"/>
      <c r="S205" s="1" t="n"/>
    </row>
    <row r="206" customFormat="1" s="8">
      <c r="B206" s="9" t="n"/>
      <c r="C206" s="3" t="n"/>
      <c r="D206" s="9" t="n"/>
      <c r="E206" s="11" t="n"/>
      <c r="F206" s="4" t="n"/>
      <c r="G206" s="4" t="n"/>
      <c r="H206" s="12" t="n"/>
      <c r="I206" s="9" t="n"/>
      <c r="J206" s="9" t="n"/>
      <c r="L206" s="41" t="n"/>
      <c r="M206" s="41" t="n"/>
      <c r="N206" s="35" t="n"/>
      <c r="O206" s="35" t="n"/>
      <c r="P206" s="35" t="n"/>
      <c r="Q206" s="35" t="n"/>
      <c r="R206" s="1" t="n"/>
      <c r="S206" s="1" t="n"/>
    </row>
    <row r="207">
      <c r="B207" s="3" t="n"/>
      <c r="C207" s="3" t="n"/>
      <c r="D207" s="3" t="n"/>
      <c r="E207" s="5" t="n"/>
      <c r="H207" s="6" t="n"/>
      <c r="I207" s="3" t="n"/>
      <c r="J207" s="3" t="n"/>
      <c r="K207" s="1" t="n"/>
      <c r="L207" s="41" t="n"/>
      <c r="R207" s="1" t="n"/>
      <c r="S207" s="1" t="n"/>
      <c r="T207" s="1" t="n"/>
    </row>
    <row r="208">
      <c r="B208" s="3" t="n"/>
      <c r="C208" s="3" t="n"/>
      <c r="D208" s="3" t="n"/>
      <c r="E208" s="5" t="n"/>
      <c r="H208" s="6" t="n"/>
      <c r="I208" s="3" t="n"/>
      <c r="J208" s="3" t="n"/>
      <c r="K208" s="1" t="n"/>
      <c r="L208" s="41" t="n"/>
      <c r="R208" s="1" t="n"/>
      <c r="S208" s="1" t="n"/>
      <c r="T208" s="1" t="n"/>
    </row>
    <row r="209">
      <c r="B209" s="3" t="n"/>
      <c r="C209" s="3" t="n"/>
      <c r="D209" s="3" t="n"/>
      <c r="E209" s="5" t="n"/>
      <c r="H209" s="6" t="n"/>
      <c r="I209" s="3" t="n"/>
      <c r="J209" s="3" t="n"/>
      <c r="K209" s="1" t="n"/>
      <c r="L209" s="41" t="n"/>
      <c r="R209" s="1" t="n"/>
      <c r="S209" s="1" t="n"/>
      <c r="T209" s="1" t="n"/>
    </row>
    <row r="210">
      <c r="B210" s="3" t="n"/>
      <c r="C210" s="3" t="n"/>
      <c r="D210" s="3" t="n"/>
      <c r="E210" s="5" t="n"/>
      <c r="H210" s="6" t="n"/>
      <c r="I210" s="3" t="n"/>
      <c r="J210" s="3" t="n"/>
      <c r="K210" s="1" t="n"/>
      <c r="L210" s="41" t="n"/>
      <c r="R210" s="1" t="n"/>
      <c r="S210" s="1" t="n"/>
      <c r="T210" s="1" t="n"/>
    </row>
    <row r="211">
      <c r="B211" s="3" t="n"/>
      <c r="C211" s="3" t="n"/>
      <c r="D211" s="3" t="n"/>
      <c r="E211" s="5" t="n"/>
      <c r="H211" s="6" t="n"/>
      <c r="I211" s="3" t="n"/>
      <c r="J211" s="3" t="n"/>
      <c r="K211" s="1" t="n"/>
      <c r="L211" s="41" t="n"/>
      <c r="R211" s="1" t="n"/>
      <c r="S211" s="1" t="n"/>
      <c r="T211" s="1" t="n"/>
    </row>
    <row r="212">
      <c r="B212" s="3" t="n"/>
      <c r="C212" s="3" t="n"/>
      <c r="D212" s="3" t="n"/>
      <c r="E212" s="5" t="n"/>
      <c r="H212" s="6" t="n"/>
      <c r="I212" s="3" t="n"/>
      <c r="J212" s="3" t="n"/>
      <c r="K212" s="1" t="n"/>
      <c r="L212" s="41" t="n"/>
      <c r="R212" s="8" t="n"/>
      <c r="S212" s="8" t="n"/>
      <c r="T212" s="1" t="n"/>
    </row>
    <row r="213">
      <c r="B213" s="3" t="n"/>
      <c r="C213" s="3" t="n"/>
      <c r="D213" s="3" t="n"/>
      <c r="E213" s="5" t="n"/>
      <c r="H213" s="6" t="n"/>
      <c r="I213" s="3" t="n"/>
      <c r="J213" s="3" t="n"/>
      <c r="K213" s="1" t="n"/>
      <c r="L213" s="41" t="n"/>
      <c r="R213" s="8" t="n"/>
      <c r="S213" s="8" t="n"/>
      <c r="T213" s="1" t="n"/>
    </row>
    <row r="214" customFormat="1" s="8">
      <c r="B214" s="9" t="n"/>
      <c r="C214" s="9" t="n"/>
      <c r="D214" s="9" t="n"/>
      <c r="E214" s="11" t="n"/>
      <c r="F214" s="4" t="n"/>
      <c r="G214" s="4" t="n"/>
      <c r="H214" s="12" t="n"/>
      <c r="I214" s="9" t="n"/>
      <c r="J214" s="9" t="n"/>
      <c r="L214" s="41" t="n"/>
      <c r="M214" s="41" t="n"/>
      <c r="N214" s="35" t="n"/>
      <c r="O214" s="35" t="n"/>
      <c r="P214" s="35" t="n"/>
      <c r="Q214" s="35" t="n"/>
      <c r="R214" s="1" t="n"/>
      <c r="S214" s="1" t="n"/>
    </row>
    <row r="215" customFormat="1" s="8">
      <c r="B215" s="9" t="n"/>
      <c r="C215" s="3" t="n"/>
      <c r="D215" s="9" t="n"/>
      <c r="E215" s="11" t="n"/>
      <c r="F215" s="4" t="n"/>
      <c r="G215" s="4" t="n"/>
      <c r="H215" s="12" t="n"/>
      <c r="I215" s="9" t="n"/>
      <c r="J215" s="9" t="n"/>
      <c r="L215" s="41" t="n"/>
      <c r="M215" s="41" t="n"/>
      <c r="N215" s="35" t="n"/>
      <c r="O215" s="35" t="n"/>
      <c r="P215" s="35" t="n"/>
      <c r="Q215" s="35" t="n"/>
      <c r="R215" s="1" t="n"/>
      <c r="S215" s="1" t="n"/>
    </row>
    <row r="216">
      <c r="B216" s="3" t="n"/>
      <c r="C216" s="3" t="n"/>
      <c r="D216" s="3" t="n"/>
      <c r="E216" s="5" t="n"/>
      <c r="H216" s="6" t="n"/>
      <c r="I216" s="3" t="n"/>
      <c r="J216" s="3" t="n"/>
      <c r="K216" s="1" t="n"/>
      <c r="L216" s="41" t="n"/>
      <c r="R216" s="1" t="n"/>
      <c r="S216" s="1" t="n"/>
      <c r="T216" s="1" t="n"/>
    </row>
    <row r="217">
      <c r="B217" s="3" t="n"/>
      <c r="C217" s="3" t="n"/>
      <c r="D217" s="3" t="n"/>
      <c r="E217" s="5" t="n"/>
      <c r="H217" s="6" t="n"/>
      <c r="I217" s="3" t="n"/>
      <c r="J217" s="3" t="n"/>
      <c r="K217" s="1" t="n"/>
      <c r="L217" s="41" t="n"/>
      <c r="R217" s="1" t="n"/>
      <c r="S217" s="1" t="n"/>
      <c r="T217" s="1" t="n"/>
    </row>
    <row r="218">
      <c r="B218" s="3" t="n"/>
      <c r="C218" s="3" t="n"/>
      <c r="D218" s="3" t="n"/>
      <c r="E218" s="5" t="n"/>
      <c r="H218" s="6" t="n"/>
      <c r="I218" s="3" t="n"/>
      <c r="J218" s="3" t="n"/>
      <c r="K218" s="1" t="n"/>
      <c r="L218" s="41" t="n"/>
      <c r="R218" s="1" t="n"/>
      <c r="S218" s="1" t="n"/>
      <c r="T218" s="1" t="n"/>
    </row>
    <row r="219">
      <c r="B219" s="3" t="n"/>
      <c r="C219" s="3" t="n"/>
      <c r="D219" s="3" t="n"/>
      <c r="E219" s="5" t="n"/>
      <c r="H219" s="6" t="n"/>
      <c r="I219" s="3" t="n"/>
      <c r="J219" s="3" t="n"/>
      <c r="K219" s="1" t="n"/>
      <c r="L219" s="41" t="n"/>
      <c r="R219" s="1" t="n"/>
      <c r="S219" s="1" t="n"/>
      <c r="T219" s="1" t="n"/>
    </row>
    <row r="220">
      <c r="B220" s="3" t="n"/>
      <c r="C220" s="3" t="n"/>
      <c r="D220" s="3" t="n"/>
      <c r="E220" s="5" t="n"/>
      <c r="H220" s="6" t="n"/>
      <c r="I220" s="3" t="n"/>
      <c r="J220" s="3" t="n"/>
      <c r="K220" s="1" t="n"/>
      <c r="L220" s="41" t="n"/>
      <c r="R220" s="1" t="n"/>
      <c r="S220" s="1" t="n"/>
      <c r="T220" s="1" t="n"/>
    </row>
    <row r="221">
      <c r="B221" s="3" t="n"/>
      <c r="C221" s="3" t="n"/>
      <c r="D221" s="3" t="n"/>
      <c r="E221" s="5" t="n"/>
      <c r="H221" s="6" t="n"/>
      <c r="I221" s="3" t="n"/>
      <c r="J221" s="3" t="n"/>
      <c r="K221" s="1" t="n"/>
      <c r="L221" s="41" t="n"/>
      <c r="R221" s="8" t="n"/>
      <c r="S221" s="8" t="n"/>
      <c r="T221" s="1" t="n"/>
    </row>
    <row r="222">
      <c r="B222" s="3" t="n"/>
      <c r="C222" s="3" t="n"/>
      <c r="D222" s="3" t="n"/>
      <c r="E222" s="5" t="n"/>
      <c r="H222" s="6" t="n"/>
      <c r="I222" s="3" t="n"/>
      <c r="J222" s="3" t="n"/>
      <c r="K222" s="1" t="n"/>
      <c r="L222" s="41" t="n"/>
      <c r="R222" s="8" t="n"/>
      <c r="S222" s="8" t="n"/>
      <c r="T222" s="1" t="n"/>
    </row>
    <row r="223" customFormat="1" s="8">
      <c r="B223" s="9" t="n"/>
      <c r="C223" s="9" t="n"/>
      <c r="D223" s="9" t="n"/>
      <c r="E223" s="11" t="n"/>
      <c r="F223" s="4" t="n"/>
      <c r="G223" s="4" t="n"/>
      <c r="H223" s="12" t="n"/>
      <c r="I223" s="9" t="n"/>
      <c r="J223" s="9" t="n"/>
      <c r="L223" s="41" t="n"/>
      <c r="M223" s="41" t="n"/>
      <c r="N223" s="35" t="n"/>
      <c r="O223" s="35" t="n"/>
      <c r="P223" s="35" t="n"/>
      <c r="Q223" s="35" t="n"/>
      <c r="R223" s="1" t="n"/>
      <c r="S223" s="1" t="n"/>
    </row>
    <row r="224" customFormat="1" s="8">
      <c r="B224" s="9" t="n"/>
      <c r="C224" s="3" t="n"/>
      <c r="D224" s="9" t="n"/>
      <c r="E224" s="11" t="n"/>
      <c r="F224" s="4" t="n"/>
      <c r="G224" s="4" t="n"/>
      <c r="H224" s="12" t="n"/>
      <c r="I224" s="9" t="n"/>
      <c r="J224" s="9" t="n"/>
      <c r="L224" s="41" t="n"/>
      <c r="M224" s="41" t="n"/>
      <c r="N224" s="35" t="n"/>
      <c r="O224" s="35" t="n"/>
      <c r="P224" s="35" t="n"/>
      <c r="Q224" s="35" t="n"/>
      <c r="R224" s="1" t="n"/>
      <c r="S224" s="1" t="n"/>
    </row>
    <row r="225">
      <c r="B225" s="3" t="n"/>
      <c r="C225" s="3" t="n"/>
      <c r="D225" s="3" t="n"/>
      <c r="E225" s="5" t="n"/>
      <c r="H225" s="6" t="n"/>
      <c r="I225" s="3" t="n"/>
      <c r="J225" s="3" t="n"/>
      <c r="K225" s="1" t="n"/>
      <c r="L225" s="41" t="n"/>
      <c r="R225" s="1" t="n"/>
      <c r="S225" s="1" t="n"/>
      <c r="T225" s="1" t="n"/>
    </row>
    <row r="226">
      <c r="B226" s="3" t="n"/>
      <c r="C226" s="3" t="n"/>
      <c r="D226" s="3" t="n"/>
      <c r="E226" s="5" t="n"/>
      <c r="H226" s="6" t="n"/>
      <c r="I226" s="3" t="n"/>
      <c r="J226" s="3" t="n"/>
      <c r="K226" s="1" t="n"/>
      <c r="L226" s="41" t="n"/>
      <c r="R226" s="1" t="n"/>
      <c r="S226" s="1" t="n"/>
      <c r="T226" s="1" t="n"/>
    </row>
    <row r="227">
      <c r="B227" s="3" t="n"/>
      <c r="C227" s="3" t="n"/>
      <c r="D227" s="3" t="n"/>
      <c r="E227" s="5" t="n"/>
      <c r="H227" s="6" t="n"/>
      <c r="I227" s="3" t="n"/>
      <c r="J227" s="3" t="n"/>
      <c r="K227" s="1" t="n"/>
      <c r="L227" s="41" t="n"/>
      <c r="R227" s="1" t="n"/>
      <c r="S227" s="1" t="n"/>
      <c r="T227" s="1" t="n"/>
    </row>
    <row r="228">
      <c r="B228" s="3" t="n"/>
      <c r="C228" s="3" t="n"/>
      <c r="D228" s="3" t="n"/>
      <c r="E228" s="5" t="n"/>
      <c r="H228" s="6" t="n"/>
      <c r="I228" s="3" t="n"/>
      <c r="J228" s="3" t="n"/>
      <c r="K228" s="1" t="n"/>
      <c r="L228" s="41" t="n"/>
      <c r="R228" s="1" t="n"/>
      <c r="S228" s="1" t="n"/>
      <c r="T228" s="1" t="n"/>
    </row>
    <row r="229">
      <c r="B229" s="3" t="n"/>
      <c r="C229" s="3" t="n"/>
      <c r="D229" s="3" t="n"/>
      <c r="E229" s="5" t="n"/>
      <c r="H229" s="6" t="n"/>
      <c r="I229" s="3" t="n"/>
      <c r="J229" s="3" t="n"/>
      <c r="K229" s="1" t="n"/>
      <c r="L229" s="41" t="n"/>
      <c r="R229" s="1" t="n"/>
      <c r="S229" s="1" t="n"/>
      <c r="T229" s="1" t="n"/>
    </row>
    <row r="230">
      <c r="B230" s="3" t="n"/>
      <c r="C230" s="3" t="n"/>
      <c r="D230" s="3" t="n"/>
      <c r="E230" s="5" t="n"/>
      <c r="H230" s="6" t="n"/>
      <c r="I230" s="3" t="n"/>
      <c r="J230" s="3" t="n"/>
      <c r="K230" s="1" t="n"/>
      <c r="L230" s="41" t="n"/>
      <c r="R230" s="8" t="n"/>
      <c r="S230" s="8" t="n"/>
      <c r="T230" s="1" t="n"/>
    </row>
    <row r="231">
      <c r="B231" s="3" t="n"/>
      <c r="C231" s="3" t="n"/>
      <c r="D231" s="3" t="n"/>
      <c r="E231" s="5" t="n"/>
      <c r="H231" s="6" t="n"/>
      <c r="I231" s="3" t="n"/>
      <c r="J231" s="3" t="n"/>
      <c r="K231" s="1" t="n"/>
      <c r="L231" s="41" t="n"/>
      <c r="R231" s="8" t="n"/>
      <c r="S231" s="8" t="n"/>
      <c r="T231" s="1" t="n"/>
    </row>
    <row r="232" customFormat="1" s="8">
      <c r="B232" s="9" t="n"/>
      <c r="C232" s="9" t="n"/>
      <c r="D232" s="9" t="n"/>
      <c r="E232" s="11" t="n"/>
      <c r="F232" s="4" t="n"/>
      <c r="G232" s="4" t="n"/>
      <c r="H232" s="12" t="n"/>
      <c r="I232" s="9" t="n"/>
      <c r="J232" s="9" t="n"/>
      <c r="L232" s="41" t="n"/>
      <c r="M232" s="41" t="n"/>
      <c r="N232" s="35" t="n"/>
      <c r="O232" s="35" t="n"/>
      <c r="P232" s="35" t="n"/>
      <c r="Q232" s="35" t="n"/>
      <c r="R232" s="1" t="n"/>
      <c r="S232" s="1" t="n"/>
    </row>
    <row r="233" customFormat="1" s="8">
      <c r="B233" s="9" t="n"/>
      <c r="C233" s="3" t="n"/>
      <c r="D233" s="9" t="n"/>
      <c r="E233" s="11" t="n"/>
      <c r="F233" s="4" t="n"/>
      <c r="G233" s="4" t="n"/>
      <c r="H233" s="12" t="n"/>
      <c r="I233" s="9" t="n"/>
      <c r="J233" s="9" t="n"/>
      <c r="L233" s="41" t="n"/>
      <c r="M233" s="41" t="n"/>
      <c r="N233" s="35" t="n"/>
      <c r="O233" s="35" t="n"/>
      <c r="P233" s="35" t="n"/>
      <c r="Q233" s="35" t="n"/>
      <c r="R233" s="1" t="n"/>
      <c r="S233" s="1" t="n"/>
    </row>
    <row r="234">
      <c r="B234" s="3" t="n"/>
      <c r="C234" s="3" t="n"/>
      <c r="D234" s="3" t="n"/>
      <c r="E234" s="5" t="n"/>
      <c r="H234" s="6" t="n"/>
      <c r="I234" s="3" t="n"/>
      <c r="J234" s="3" t="n"/>
      <c r="K234" s="1" t="n"/>
      <c r="L234" s="41" t="n"/>
      <c r="R234" s="1" t="n"/>
      <c r="S234" s="1" t="n"/>
      <c r="T234" s="1" t="n"/>
    </row>
    <row r="235">
      <c r="B235" s="3" t="n"/>
      <c r="C235" s="3" t="n"/>
      <c r="D235" s="3" t="n"/>
      <c r="E235" s="5" t="n"/>
      <c r="H235" s="6" t="n"/>
      <c r="I235" s="3" t="n"/>
      <c r="J235" s="3" t="n"/>
      <c r="K235" s="1" t="n"/>
      <c r="L235" s="41" t="n"/>
      <c r="R235" s="1" t="n"/>
      <c r="S235" s="1" t="n"/>
      <c r="T235" s="1" t="n"/>
    </row>
    <row r="236">
      <c r="B236" s="3" t="n"/>
      <c r="C236" s="3" t="n"/>
      <c r="D236" s="3" t="n"/>
      <c r="E236" s="5" t="n"/>
      <c r="H236" s="6" t="n"/>
      <c r="I236" s="3" t="n"/>
      <c r="J236" s="3" t="n"/>
      <c r="K236" s="1" t="n"/>
      <c r="L236" s="41" t="n"/>
      <c r="R236" s="1" t="n"/>
      <c r="S236" s="1" t="n"/>
      <c r="T236" s="1" t="n"/>
    </row>
    <row r="237">
      <c r="B237" s="3" t="n"/>
      <c r="C237" s="3" t="n"/>
      <c r="D237" s="3" t="n"/>
      <c r="E237" s="5" t="n"/>
      <c r="H237" s="6" t="n"/>
      <c r="I237" s="3" t="n"/>
      <c r="J237" s="3" t="n"/>
      <c r="K237" s="1" t="n"/>
      <c r="L237" s="41" t="n"/>
      <c r="R237" s="1" t="n"/>
      <c r="S237" s="1" t="n"/>
      <c r="T237" s="1" t="n"/>
    </row>
    <row r="238">
      <c r="B238" s="3" t="n"/>
      <c r="C238" s="3" t="n"/>
      <c r="D238" s="3" t="n"/>
      <c r="E238" s="5" t="n"/>
      <c r="H238" s="6" t="n"/>
      <c r="I238" s="3" t="n"/>
      <c r="J238" s="3" t="n"/>
      <c r="K238" s="1" t="n"/>
      <c r="L238" s="41" t="n"/>
      <c r="R238" s="1" t="n"/>
      <c r="S238" s="1" t="n"/>
      <c r="T238" s="1" t="n"/>
    </row>
    <row r="239">
      <c r="B239" s="3" t="n"/>
      <c r="C239" s="3" t="n"/>
      <c r="D239" s="3" t="n"/>
      <c r="E239" s="5" t="n"/>
      <c r="H239" s="6" t="n"/>
      <c r="I239" s="3" t="n"/>
      <c r="J239" s="3" t="n"/>
      <c r="K239" s="1" t="n"/>
      <c r="L239" s="41" t="n"/>
      <c r="R239" s="8" t="n"/>
      <c r="S239" s="8" t="n"/>
      <c r="T239" s="1" t="n"/>
    </row>
    <row r="240">
      <c r="B240" s="3" t="n"/>
      <c r="C240" s="3" t="n"/>
      <c r="D240" s="3" t="n"/>
      <c r="E240" s="5" t="n"/>
      <c r="H240" s="6" t="n"/>
      <c r="I240" s="3" t="n"/>
      <c r="J240" s="3" t="n"/>
      <c r="K240" s="1" t="n"/>
      <c r="L240" s="41" t="n"/>
      <c r="R240" s="8" t="n"/>
      <c r="S240" s="8" t="n"/>
      <c r="T240" s="1" t="n"/>
    </row>
    <row r="241" customFormat="1" s="8">
      <c r="B241" s="9" t="n"/>
      <c r="C241" s="9" t="n"/>
      <c r="D241" s="9" t="n"/>
      <c r="E241" s="11" t="n"/>
      <c r="F241" s="4" t="n"/>
      <c r="G241" s="4" t="n"/>
      <c r="H241" s="12" t="n"/>
      <c r="I241" s="9" t="n"/>
      <c r="J241" s="9" t="n"/>
      <c r="L241" s="41" t="n"/>
      <c r="M241" s="41" t="n"/>
      <c r="N241" s="35" t="n"/>
      <c r="O241" s="35" t="n"/>
      <c r="P241" s="35" t="n"/>
      <c r="Q241" s="35" t="n"/>
      <c r="R241" s="1" t="n"/>
      <c r="S241" s="1" t="n"/>
    </row>
    <row r="242" customFormat="1" s="8">
      <c r="B242" s="9" t="n"/>
      <c r="C242" s="3" t="n"/>
      <c r="D242" s="9" t="n"/>
      <c r="E242" s="11" t="n"/>
      <c r="F242" s="4" t="n"/>
      <c r="G242" s="4" t="n"/>
      <c r="H242" s="12" t="n"/>
      <c r="I242" s="9" t="n"/>
      <c r="J242" s="9" t="n"/>
      <c r="L242" s="41" t="n"/>
      <c r="M242" s="41" t="n"/>
      <c r="N242" s="35" t="n"/>
      <c r="O242" s="35" t="n"/>
      <c r="P242" s="35" t="n"/>
      <c r="Q242" s="35" t="n"/>
      <c r="R242" s="1" t="n"/>
      <c r="S242" s="1" t="n"/>
    </row>
    <row r="243">
      <c r="B243" s="3" t="n"/>
      <c r="C243" s="3" t="n"/>
      <c r="D243" s="3" t="n"/>
      <c r="E243" s="5" t="n"/>
      <c r="H243" s="6" t="n"/>
      <c r="I243" s="3" t="n"/>
      <c r="J243" s="3" t="n"/>
      <c r="K243" s="1" t="n"/>
      <c r="L243" s="41" t="n"/>
      <c r="R243" s="1" t="n"/>
      <c r="S243" s="1" t="n"/>
      <c r="T243" s="1" t="n"/>
    </row>
    <row r="244">
      <c r="B244" s="3" t="n"/>
      <c r="C244" s="3" t="n"/>
      <c r="D244" s="3" t="n"/>
      <c r="E244" s="5" t="n"/>
      <c r="H244" s="6" t="n"/>
      <c r="I244" s="3" t="n"/>
      <c r="J244" s="3" t="n"/>
      <c r="K244" s="1" t="n"/>
      <c r="L244" s="41" t="n"/>
      <c r="R244" s="1" t="n"/>
      <c r="S244" s="1" t="n"/>
      <c r="T244" s="1" t="n"/>
    </row>
    <row r="245">
      <c r="B245" s="3" t="n"/>
      <c r="C245" s="3" t="n"/>
      <c r="D245" s="3" t="n"/>
      <c r="E245" s="5" t="n"/>
      <c r="H245" s="6" t="n"/>
      <c r="I245" s="3" t="n"/>
      <c r="J245" s="3" t="n"/>
      <c r="K245" s="1" t="n"/>
      <c r="L245" s="41" t="n"/>
      <c r="R245" s="1" t="n"/>
      <c r="S245" s="1" t="n"/>
      <c r="T245" s="1" t="n"/>
    </row>
    <row r="246">
      <c r="B246" s="3" t="n"/>
      <c r="C246" s="3" t="n"/>
      <c r="D246" s="3" t="n"/>
      <c r="E246" s="5" t="n"/>
      <c r="H246" s="6" t="n"/>
      <c r="I246" s="3" t="n"/>
      <c r="J246" s="3" t="n"/>
      <c r="K246" s="1" t="n"/>
      <c r="L246" s="41" t="n"/>
      <c r="R246" s="1" t="n"/>
      <c r="S246" s="1" t="n"/>
      <c r="T246" s="1" t="n"/>
    </row>
    <row r="247">
      <c r="B247" s="3" t="n"/>
      <c r="C247" s="3" t="n"/>
      <c r="D247" s="3" t="n"/>
      <c r="E247" s="5" t="n"/>
      <c r="H247" s="6" t="n"/>
      <c r="I247" s="3" t="n"/>
      <c r="J247" s="3" t="n"/>
      <c r="K247" s="1" t="n"/>
      <c r="L247" s="41" t="n"/>
      <c r="R247" s="1" t="n"/>
      <c r="S247" s="1" t="n"/>
      <c r="T247" s="1" t="n"/>
    </row>
    <row r="248">
      <c r="B248" s="3" t="n"/>
      <c r="C248" s="3" t="n"/>
      <c r="D248" s="3" t="n"/>
      <c r="E248" s="5" t="n"/>
      <c r="H248" s="6" t="n"/>
      <c r="I248" s="3" t="n"/>
      <c r="J248" s="3" t="n"/>
      <c r="K248" s="1" t="n"/>
      <c r="L248" s="41" t="n"/>
      <c r="R248" s="8" t="n"/>
      <c r="S248" s="8" t="n"/>
      <c r="T248" s="1" t="n"/>
    </row>
    <row r="249">
      <c r="B249" s="3" t="n"/>
      <c r="C249" s="3" t="n"/>
      <c r="D249" s="3" t="n"/>
      <c r="E249" s="5" t="n"/>
      <c r="H249" s="6" t="n"/>
      <c r="I249" s="3" t="n"/>
      <c r="J249" s="3" t="n"/>
      <c r="K249" s="1" t="n"/>
      <c r="L249" s="41" t="n"/>
      <c r="R249" s="8" t="n"/>
      <c r="S249" s="8" t="n"/>
      <c r="T249" s="1" t="n"/>
    </row>
    <row r="250" customFormat="1" s="8">
      <c r="B250" s="9" t="n"/>
      <c r="C250" s="9" t="n"/>
      <c r="D250" s="9" t="n"/>
      <c r="E250" s="11" t="n"/>
      <c r="F250" s="4" t="n"/>
      <c r="G250" s="4" t="n"/>
      <c r="H250" s="12" t="n"/>
      <c r="I250" s="9" t="n"/>
      <c r="J250" s="9" t="n"/>
      <c r="L250" s="41" t="n"/>
      <c r="M250" s="41" t="n"/>
      <c r="N250" s="35" t="n"/>
      <c r="O250" s="35" t="n"/>
      <c r="P250" s="35" t="n"/>
      <c r="Q250" s="35" t="n"/>
      <c r="R250" s="1" t="n"/>
      <c r="S250" s="1" t="n"/>
    </row>
    <row r="251" customFormat="1" s="8">
      <c r="B251" s="9" t="n"/>
      <c r="C251" s="3" t="n"/>
      <c r="D251" s="9" t="n"/>
      <c r="E251" s="11" t="n"/>
      <c r="F251" s="4" t="n"/>
      <c r="G251" s="4" t="n"/>
      <c r="H251" s="12" t="n"/>
      <c r="I251" s="9" t="n"/>
      <c r="J251" s="9" t="n"/>
      <c r="L251" s="41" t="n"/>
      <c r="M251" s="41" t="n"/>
      <c r="N251" s="35" t="n"/>
      <c r="O251" s="35" t="n"/>
      <c r="P251" s="35" t="n"/>
      <c r="Q251" s="35" t="n"/>
      <c r="R251" s="1" t="n"/>
      <c r="S251" s="1" t="n"/>
    </row>
    <row r="252">
      <c r="B252" s="3" t="n"/>
      <c r="C252" s="3" t="n"/>
      <c r="D252" s="3" t="n"/>
      <c r="E252" s="5" t="n"/>
      <c r="H252" s="6" t="n"/>
      <c r="I252" s="3" t="n"/>
      <c r="J252" s="3" t="n"/>
      <c r="K252" s="1" t="n"/>
      <c r="L252" s="41" t="n"/>
      <c r="R252" s="1" t="n"/>
      <c r="S252" s="1" t="n"/>
      <c r="T252" s="1" t="n"/>
    </row>
    <row r="253">
      <c r="B253" s="3" t="n"/>
      <c r="C253" s="3" t="n"/>
      <c r="D253" s="3" t="n"/>
      <c r="E253" s="5" t="n"/>
      <c r="H253" s="6" t="n"/>
      <c r="I253" s="3" t="n"/>
      <c r="J253" s="3" t="n"/>
      <c r="K253" s="1" t="n"/>
      <c r="L253" s="41" t="n"/>
      <c r="R253" s="1" t="n"/>
      <c r="S253" s="1" t="n"/>
      <c r="T253" s="1" t="n"/>
    </row>
    <row r="254">
      <c r="B254" s="3" t="n"/>
      <c r="C254" s="3" t="n"/>
      <c r="D254" s="3" t="n"/>
      <c r="E254" s="5" t="n"/>
      <c r="H254" s="6" t="n"/>
      <c r="I254" s="3" t="n"/>
      <c r="J254" s="3" t="n"/>
      <c r="K254" s="1" t="n"/>
      <c r="L254" s="41" t="n"/>
      <c r="R254" s="1" t="n"/>
      <c r="S254" s="1" t="n"/>
      <c r="T254" s="1" t="n"/>
    </row>
    <row r="255">
      <c r="B255" s="3" t="n"/>
      <c r="C255" s="3" t="n"/>
      <c r="D255" s="3" t="n"/>
      <c r="E255" s="5" t="n"/>
      <c r="H255" s="6" t="n"/>
      <c r="I255" s="3" t="n"/>
      <c r="J255" s="3" t="n"/>
      <c r="K255" s="1" t="n"/>
      <c r="L255" s="41" t="n"/>
      <c r="R255" s="1" t="n"/>
      <c r="S255" s="1" t="n"/>
      <c r="T255" s="1" t="n"/>
    </row>
    <row r="256">
      <c r="B256" s="3" t="n"/>
      <c r="C256" s="3" t="n"/>
      <c r="D256" s="3" t="n"/>
      <c r="E256" s="5" t="n"/>
      <c r="H256" s="6" t="n"/>
      <c r="I256" s="3" t="n"/>
      <c r="J256" s="3" t="n"/>
      <c r="K256" s="1" t="n"/>
      <c r="L256" s="41" t="n"/>
      <c r="T256" s="1" t="n"/>
    </row>
    <row r="257">
      <c r="B257" s="3" t="n"/>
      <c r="C257" s="3" t="n"/>
      <c r="D257" s="3" t="n"/>
      <c r="E257" s="5" t="n"/>
      <c r="H257" s="6" t="n"/>
      <c r="I257" s="3" t="n"/>
      <c r="J257" s="3" t="n"/>
      <c r="K257" s="1" t="n"/>
      <c r="L257" s="41" t="n"/>
      <c r="T257" s="1" t="n"/>
    </row>
    <row r="258">
      <c r="B258" s="3" t="n"/>
      <c r="C258" s="3" t="n"/>
      <c r="E258" s="3" t="n"/>
    </row>
    <row r="259">
      <c r="B259" s="3" t="n"/>
      <c r="C259" s="3" t="n"/>
      <c r="E259" s="3" t="n"/>
    </row>
    <row r="260">
      <c r="B260" s="3" t="n"/>
      <c r="C260" s="3" t="n"/>
      <c r="E260" s="3" t="n"/>
    </row>
    <row r="261">
      <c r="B261" s="3" t="n"/>
      <c r="C261" s="3" t="n"/>
      <c r="E261" s="3" t="n"/>
    </row>
  </sheetData>
  <mergeCells count="20">
    <mergeCell ref="E8:E9"/>
    <mergeCell ref="G8:G9"/>
    <mergeCell ref="Q8:Q9"/>
    <mergeCell ref="S8:S9"/>
    <mergeCell ref="B8:B9"/>
    <mergeCell ref="P25:Q25"/>
    <mergeCell ref="F8:F9"/>
    <mergeCell ref="L8:L9"/>
    <mergeCell ref="N8:N9"/>
    <mergeCell ref="P8:P9"/>
    <mergeCell ref="A8:A9"/>
    <mergeCell ref="C8:C9"/>
    <mergeCell ref="I8:I9"/>
    <mergeCell ref="K8:K9"/>
    <mergeCell ref="M8:M9"/>
    <mergeCell ref="O8:O9"/>
    <mergeCell ref="D8:D9"/>
    <mergeCell ref="H8:H9"/>
    <mergeCell ref="J8:J9"/>
    <mergeCell ref="R8:R9"/>
  </mergeCells>
  <pageMargins left="0.7" right="0.7" top="0.75" bottom="0.75" header="0.3" footer="0.3"/>
  <pageSetup orientation="landscape" paperSize="9" scale="84" fitToHeight="0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261"/>
  <sheetViews>
    <sheetView zoomScale="85" zoomScaleNormal="85" workbookViewId="0">
      <selection activeCell="P21" sqref="P21"/>
    </sheetView>
  </sheetViews>
  <sheetFormatPr baseColWidth="10" defaultColWidth="9.140625" defaultRowHeight="14.25"/>
  <cols>
    <col width="5.5703125" customWidth="1" style="1" min="1" max="1"/>
    <col width="15.7109375" customWidth="1" style="2" min="2" max="3"/>
    <col width="15.7109375" customWidth="1" style="4" min="4" max="4"/>
    <col width="12.7109375" customWidth="1" style="2" min="5" max="5"/>
    <col width="15.7109375" customWidth="1" style="4" min="6" max="6"/>
    <col width="12.7109375" customWidth="1" style="4" min="7" max="7"/>
    <col width="15.7109375" customWidth="1" style="5" min="8" max="8"/>
    <col width="15.7109375" customWidth="1" style="6" min="9" max="9"/>
    <col width="15.7109375" customWidth="1" style="2" min="10" max="10"/>
    <col width="12.7109375" customWidth="1" style="4" min="11" max="11"/>
    <col width="12.7109375" customWidth="1" style="7" min="12" max="15"/>
    <col width="12.7109375" customWidth="1" style="1" min="16" max="16"/>
    <col width="15" customWidth="1" style="1" min="17" max="18"/>
    <col width="9.140625" customWidth="1" style="1" min="19" max="19"/>
    <col width="12.7109375" customWidth="1" style="1" min="20" max="21"/>
    <col width="9.140625" customWidth="1" style="1" min="22" max="16384"/>
  </cols>
  <sheetData>
    <row r="1">
      <c r="A1" s="1">
        <f>DATOS!A1</f>
        <v/>
      </c>
    </row>
    <row r="2">
      <c r="A2" s="1" t="inlineStr">
        <is>
          <t>FACTURAS SUMINISTRO AGUA</t>
        </is>
      </c>
    </row>
    <row r="3">
      <c r="A3" s="1" t="inlineStr">
        <is>
          <t>SUMINISTRO DE AGUA</t>
        </is>
      </c>
    </row>
    <row r="4">
      <c r="A4" s="1" t="inlineStr">
        <is>
          <t>SUMINISTRO:</t>
        </is>
      </c>
      <c r="C4" s="22" t="n"/>
      <c r="H4" s="4" t="n"/>
      <c r="I4" s="5" t="n"/>
      <c r="J4" s="1" t="n"/>
      <c r="K4" s="7" t="n"/>
      <c r="O4" s="1" t="n"/>
    </row>
    <row r="5">
      <c r="C5" s="22" t="n"/>
      <c r="H5" s="4" t="n"/>
      <c r="I5" s="5" t="n"/>
      <c r="J5" s="1" t="n"/>
      <c r="K5" s="7" t="n"/>
      <c r="O5" s="1" t="n"/>
    </row>
    <row r="8" ht="16.5" customFormat="1" customHeight="1" s="13">
      <c r="A8" s="217" t="n"/>
      <c r="B8" s="217" t="inlineStr">
        <is>
          <t>Fecha fra.</t>
        </is>
      </c>
      <c r="C8" s="217" t="inlineStr">
        <is>
          <t>Periodo</t>
        </is>
      </c>
      <c r="D8" s="217" t="inlineStr">
        <is>
          <t>Fecha final</t>
        </is>
      </c>
      <c r="E8" s="223" t="inlineStr">
        <is>
          <t>Lectura  final</t>
        </is>
      </c>
      <c r="F8" s="217" t="inlineStr">
        <is>
          <t>Fecha inicial</t>
        </is>
      </c>
      <c r="G8" s="223" t="inlineStr">
        <is>
          <t>Lectura inicial</t>
        </is>
      </c>
      <c r="H8" s="223" t="inlineStr">
        <is>
          <t>Consumo (m3)</t>
        </is>
      </c>
      <c r="K8" s="217" t="inlineStr">
        <is>
          <t>AYUNTAMIENTO (ABASTECIMIENTO)</t>
        </is>
      </c>
      <c r="N8" s="217" t="inlineStr">
        <is>
          <t>ECOCIUDAD (SANEAMIENTO)</t>
        </is>
      </c>
      <c r="Q8" s="217" t="inlineStr">
        <is>
          <t>TOTAL         (sin IVA)</t>
        </is>
      </c>
      <c r="R8" s="225" t="inlineStr">
        <is>
          <t>TOTAL          (IVA incl.)</t>
        </is>
      </c>
      <c r="S8" s="217" t="n"/>
      <c r="T8" s="217" t="inlineStr">
        <is>
          <t>C. Variable (IVA incl.)</t>
        </is>
      </c>
      <c r="U8" s="225" t="inlineStr">
        <is>
          <t>C. Fija (IVA incl.)</t>
        </is>
      </c>
    </row>
    <row r="9" ht="16.5" customFormat="1" customHeight="1" s="13">
      <c r="H9" s="25" t="n">
        <v>0.21</v>
      </c>
      <c r="I9" s="25" t="n">
        <v>0.503</v>
      </c>
      <c r="J9" s="25" t="n">
        <v>1.258</v>
      </c>
      <c r="K9" s="217" t="inlineStr">
        <is>
          <t>Variable</t>
        </is>
      </c>
      <c r="L9" s="217" t="inlineStr">
        <is>
          <t>Fijo</t>
        </is>
      </c>
      <c r="M9" s="225" t="inlineStr">
        <is>
          <t>SUMA</t>
        </is>
      </c>
      <c r="N9" s="217" t="inlineStr">
        <is>
          <t>Variable</t>
        </is>
      </c>
      <c r="O9" s="217" t="inlineStr">
        <is>
          <t>Fijo</t>
        </is>
      </c>
      <c r="P9" s="225" t="inlineStr">
        <is>
          <t>SUMA</t>
        </is>
      </c>
    </row>
    <row r="10">
      <c r="B10" s="162" t="n"/>
      <c r="C10" s="193" t="n"/>
      <c r="D10" s="163" t="n"/>
      <c r="E10" s="164" t="n"/>
      <c r="F10" s="163" t="n"/>
      <c r="G10" s="194" t="n"/>
      <c r="H10" s="195" t="n"/>
      <c r="I10" s="194" t="n"/>
      <c r="J10" s="194" t="n"/>
      <c r="K10" s="165" t="n"/>
      <c r="L10" s="166" t="n"/>
      <c r="M10" s="28" t="n"/>
      <c r="N10" s="165" t="n"/>
      <c r="O10" s="167" t="n"/>
      <c r="P10" s="28" t="n"/>
      <c r="Q10" s="28" t="n"/>
      <c r="R10" s="28" t="n"/>
      <c r="S10" s="196" t="n"/>
      <c r="T10" s="28" t="n"/>
      <c r="U10" s="28" t="n"/>
    </row>
    <row r="11">
      <c r="B11" s="162" t="n"/>
      <c r="C11" s="193" t="n"/>
      <c r="D11" s="163" t="n"/>
      <c r="E11" s="164" t="n"/>
      <c r="F11" s="163" t="n"/>
      <c r="G11" s="194" t="n"/>
      <c r="H11" s="195" t="n"/>
      <c r="I11" s="194" t="n"/>
      <c r="J11" s="194" t="n"/>
      <c r="K11" s="165" t="n"/>
      <c r="L11" s="166" t="n"/>
      <c r="M11" s="28" t="n"/>
      <c r="N11" s="165" t="n"/>
      <c r="O11" s="167" t="n"/>
      <c r="P11" s="28" t="n"/>
      <c r="Q11" s="28" t="n"/>
      <c r="R11" s="28" t="n"/>
      <c r="S11" s="196" t="n"/>
      <c r="T11" s="28" t="n"/>
      <c r="U11" s="28" t="n"/>
    </row>
    <row r="12">
      <c r="B12" s="162" t="n"/>
      <c r="C12" s="193" t="n"/>
      <c r="D12" s="163" t="n"/>
      <c r="E12" s="164" t="n"/>
      <c r="F12" s="163" t="n"/>
      <c r="G12" s="4" t="n"/>
      <c r="H12" s="10" t="n"/>
      <c r="I12" s="4" t="n"/>
      <c r="J12" s="4" t="n"/>
      <c r="K12" s="165" t="n"/>
      <c r="L12" s="166" t="n"/>
      <c r="M12" s="28" t="n"/>
      <c r="N12" s="165" t="n"/>
      <c r="O12" s="167" t="n"/>
      <c r="P12" s="28" t="n"/>
      <c r="Q12" s="28" t="n"/>
      <c r="R12" s="28" t="n"/>
      <c r="S12" s="29" t="n"/>
      <c r="T12" s="30" t="n"/>
      <c r="U12" s="30" t="n"/>
    </row>
    <row r="13">
      <c r="B13" s="162" t="n"/>
      <c r="C13" s="193" t="n"/>
      <c r="D13" s="163" t="n"/>
      <c r="E13" s="164" t="n"/>
      <c r="F13" s="163" t="n"/>
      <c r="G13" s="4" t="n"/>
      <c r="H13" s="10" t="n"/>
      <c r="I13" s="4" t="n"/>
      <c r="J13" s="4" t="n"/>
      <c r="K13" s="165" t="n"/>
      <c r="L13" s="166" t="n"/>
      <c r="M13" s="28" t="n"/>
      <c r="N13" s="165" t="n"/>
      <c r="O13" s="167" t="n"/>
      <c r="P13" s="28" t="n"/>
      <c r="Q13" s="28" t="n"/>
      <c r="R13" s="28" t="n"/>
      <c r="S13" s="29" t="n"/>
      <c r="T13" s="30" t="n"/>
      <c r="U13" s="30" t="n"/>
    </row>
    <row r="14">
      <c r="B14" s="162" t="n"/>
      <c r="C14" s="193" t="n"/>
      <c r="D14" s="163" t="n"/>
      <c r="E14" s="164" t="n"/>
      <c r="F14" s="163" t="n"/>
      <c r="G14" s="4" t="n"/>
      <c r="H14" s="10" t="n"/>
      <c r="I14" s="4" t="n"/>
      <c r="J14" s="4" t="n"/>
      <c r="K14" s="165" t="n"/>
      <c r="L14" s="166" t="n"/>
      <c r="M14" s="28" t="n"/>
      <c r="N14" s="165" t="n"/>
      <c r="O14" s="167" t="n"/>
      <c r="P14" s="28" t="n"/>
      <c r="Q14" s="28" t="n"/>
      <c r="R14" s="28" t="n"/>
      <c r="S14" s="29" t="n"/>
      <c r="T14" s="30" t="n"/>
      <c r="U14" s="30" t="n"/>
    </row>
    <row r="15">
      <c r="B15" s="162" t="n"/>
      <c r="C15" s="193" t="n"/>
      <c r="D15" s="163" t="n"/>
      <c r="E15" s="164" t="n"/>
      <c r="F15" s="163" t="n"/>
      <c r="G15" s="4" t="n"/>
      <c r="H15" s="10" t="n"/>
      <c r="I15" s="4" t="n"/>
      <c r="J15" s="4" t="n"/>
      <c r="K15" s="165" t="n"/>
      <c r="L15" s="166" t="n"/>
      <c r="M15" s="28" t="n"/>
      <c r="N15" s="165" t="n"/>
      <c r="O15" s="167" t="n"/>
      <c r="P15" s="28" t="n"/>
      <c r="Q15" s="28" t="n"/>
      <c r="R15" s="28" t="n"/>
      <c r="S15" s="29" t="n"/>
      <c r="T15" s="30" t="n"/>
      <c r="U15" s="30" t="n"/>
    </row>
    <row r="16">
      <c r="B16" s="162" t="n"/>
      <c r="C16" s="193" t="n"/>
      <c r="D16" s="163" t="n"/>
      <c r="E16" s="164" t="n"/>
      <c r="F16" s="163" t="n"/>
      <c r="G16" s="4" t="n"/>
      <c r="H16" s="10" t="n"/>
      <c r="I16" s="4" t="n"/>
      <c r="J16" s="4" t="n"/>
      <c r="K16" s="165" t="n"/>
      <c r="L16" s="166" t="n"/>
      <c r="M16" s="28" t="n"/>
      <c r="N16" s="165" t="n"/>
      <c r="O16" s="167" t="n"/>
      <c r="P16" s="28" t="n"/>
      <c r="Q16" s="28" t="n"/>
      <c r="R16" s="28" t="n"/>
      <c r="S16" s="29" t="n"/>
      <c r="T16" s="30" t="n"/>
      <c r="U16" s="30" t="n"/>
    </row>
    <row r="17">
      <c r="B17" s="162" t="n"/>
      <c r="C17" s="193" t="n"/>
      <c r="D17" s="163" t="n"/>
      <c r="E17" s="164" t="n"/>
      <c r="F17" s="163" t="n"/>
      <c r="G17" s="4" t="n"/>
      <c r="H17" s="10" t="n"/>
      <c r="I17" s="4" t="n"/>
      <c r="J17" s="4" t="n"/>
      <c r="K17" s="165" t="n"/>
      <c r="L17" s="166" t="n"/>
      <c r="M17" s="28" t="n"/>
      <c r="N17" s="165" t="n"/>
      <c r="O17" s="167" t="n"/>
      <c r="P17" s="28" t="n"/>
      <c r="Q17" s="28" t="n"/>
      <c r="R17" s="28" t="n"/>
      <c r="S17" s="29" t="n"/>
      <c r="T17" s="30" t="n"/>
      <c r="U17" s="30" t="n"/>
    </row>
    <row r="18">
      <c r="B18" s="162" t="n"/>
      <c r="C18" s="193" t="n"/>
      <c r="D18" s="163" t="n"/>
      <c r="E18" s="164" t="n"/>
      <c r="F18" s="163" t="n"/>
      <c r="G18" s="4" t="n"/>
      <c r="H18" s="10" t="n"/>
      <c r="I18" s="4" t="n"/>
      <c r="J18" s="4" t="n"/>
      <c r="K18" s="165" t="n"/>
      <c r="L18" s="166" t="n"/>
      <c r="M18" s="28" t="n"/>
      <c r="N18" s="165" t="n"/>
      <c r="O18" s="167" t="n"/>
      <c r="P18" s="28" t="n"/>
      <c r="Q18" s="28" t="n"/>
      <c r="R18" s="28" t="n"/>
      <c r="S18" s="29" t="n"/>
      <c r="T18" s="30" t="n"/>
      <c r="U18" s="30" t="n"/>
    </row>
    <row r="19">
      <c r="B19" s="162" t="n"/>
      <c r="C19" s="193" t="n"/>
      <c r="D19" s="163" t="n"/>
      <c r="E19" s="164" t="n"/>
      <c r="F19" s="163" t="n"/>
      <c r="G19" s="4" t="n"/>
      <c r="H19" s="10" t="n"/>
      <c r="I19" s="4" t="n"/>
      <c r="J19" s="4" t="n"/>
      <c r="K19" s="165" t="n"/>
      <c r="L19" s="166" t="n"/>
      <c r="M19" s="28" t="n"/>
      <c r="N19" s="165" t="n"/>
      <c r="O19" s="167" t="n"/>
      <c r="P19" s="28" t="n"/>
      <c r="Q19" s="28" t="n"/>
      <c r="R19" s="28" t="n"/>
      <c r="S19" s="29" t="n"/>
      <c r="T19" s="30" t="n"/>
      <c r="U19" s="30" t="n"/>
    </row>
    <row r="20">
      <c r="B20" s="162" t="n"/>
      <c r="C20" s="193" t="n"/>
      <c r="D20" s="163" t="n"/>
      <c r="E20" s="164" t="n"/>
      <c r="F20" s="163" t="n"/>
      <c r="G20" s="4" t="n"/>
      <c r="H20" s="10" t="n"/>
      <c r="I20" s="4" t="n"/>
      <c r="J20" s="4" t="n"/>
      <c r="K20" s="165" t="n"/>
      <c r="L20" s="166" t="n"/>
      <c r="M20" s="28" t="n"/>
      <c r="N20" s="165" t="n"/>
      <c r="O20" s="167" t="n"/>
      <c r="P20" s="28" t="n"/>
      <c r="Q20" s="28" t="n"/>
      <c r="R20" s="28" t="n"/>
      <c r="S20" s="29" t="n"/>
      <c r="T20" s="30" t="n"/>
      <c r="U20" s="30" t="n"/>
    </row>
    <row r="21">
      <c r="B21" s="191" t="n"/>
      <c r="C21" s="193" t="n"/>
      <c r="D21" s="191" t="n"/>
      <c r="E21" s="169" t="n"/>
      <c r="F21" s="191" t="n"/>
      <c r="G21" s="169" t="n"/>
      <c r="H21" s="189" t="n"/>
      <c r="I21" s="169" t="n"/>
      <c r="J21" s="169" t="n"/>
      <c r="K21" s="168" t="n"/>
      <c r="L21" s="168" t="n"/>
      <c r="M21" s="168" t="n"/>
      <c r="N21" s="168" t="n"/>
      <c r="O21" s="168" t="n"/>
      <c r="P21" s="168" t="n"/>
      <c r="Q21" s="168" t="n"/>
      <c r="R21" s="168" t="n"/>
      <c r="S21" s="190" t="n"/>
      <c r="T21" s="168" t="n"/>
      <c r="U21" s="168" t="n"/>
    </row>
    <row r="22">
      <c r="B22" s="16" t="n"/>
      <c r="C22" s="24" t="n"/>
      <c r="D22" s="16" t="n"/>
      <c r="E22" s="17" t="n"/>
      <c r="F22" s="16" t="n"/>
      <c r="G22" s="17" t="n"/>
      <c r="H22" s="18" t="n"/>
      <c r="I22" s="17" t="n"/>
      <c r="J22" s="17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2" t="n"/>
      <c r="T22" s="33" t="n"/>
      <c r="U22" s="33" t="n"/>
    </row>
    <row r="23">
      <c r="B23" s="15" t="inlineStr">
        <is>
          <t>Suma ….</t>
        </is>
      </c>
      <c r="C23" s="26" t="n"/>
      <c r="D23" s="2">
        <f>D21-F10</f>
        <v/>
      </c>
      <c r="E23" s="4" t="n"/>
      <c r="F23" s="3" t="n"/>
      <c r="G23" s="1" t="n"/>
      <c r="H23" s="10" t="n"/>
      <c r="I23" s="4">
        <f>SUM(I10:I22)</f>
        <v/>
      </c>
      <c r="J23" s="4" t="n"/>
      <c r="K23" s="27" t="n"/>
      <c r="L23" s="27" t="n"/>
      <c r="M23" s="6">
        <f>SUM(M10:M22)</f>
        <v/>
      </c>
      <c r="N23" s="27" t="n"/>
      <c r="O23" s="27" t="n"/>
      <c r="P23" s="6">
        <f>SUM(P10:P22)</f>
        <v/>
      </c>
      <c r="Q23" s="27" t="n"/>
      <c r="R23" s="6">
        <f>SUM(R10:R22)</f>
        <v/>
      </c>
      <c r="S23" s="6" t="n"/>
      <c r="T23" s="6">
        <f>SUM(T10:T22)</f>
        <v/>
      </c>
      <c r="U23" s="6">
        <f>SUM(U10:U22)</f>
        <v/>
      </c>
    </row>
    <row r="24">
      <c r="B24" s="3" t="n"/>
      <c r="C24" s="26" t="n"/>
      <c r="D24" s="3" t="n"/>
      <c r="E24" s="4" t="n"/>
      <c r="F24" s="3" t="n"/>
      <c r="H24" s="10" t="n"/>
      <c r="I24" s="4" t="n"/>
      <c r="J24" s="4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9" t="n"/>
      <c r="T24" s="30" t="n"/>
      <c r="U24" s="30" t="n"/>
    </row>
    <row r="25">
      <c r="B25" s="3" t="n"/>
      <c r="C25" s="26" t="n"/>
      <c r="D25" s="3" t="n"/>
      <c r="E25" s="4" t="n"/>
      <c r="F25" s="3" t="n"/>
      <c r="H25" s="10" t="n"/>
      <c r="I25" s="4" t="n"/>
      <c r="J25" s="4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9" t="n"/>
      <c r="T25" s="30" t="n"/>
      <c r="U25" s="30" t="n"/>
    </row>
    <row r="26">
      <c r="B26" s="3" t="n"/>
      <c r="C26" s="26" t="n"/>
      <c r="D26" s="3" t="n"/>
      <c r="E26" s="4" t="n"/>
      <c r="F26" s="3" t="n"/>
      <c r="H26" s="10" t="n"/>
      <c r="I26" s="4" t="n"/>
      <c r="J26" s="4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9" t="n"/>
      <c r="T26" s="30" t="n"/>
      <c r="U26" s="30" t="n"/>
    </row>
    <row r="27">
      <c r="B27" s="3" t="n"/>
      <c r="C27" s="26" t="n"/>
      <c r="D27" s="3" t="n"/>
      <c r="E27" s="4" t="n"/>
      <c r="F27" s="3" t="n"/>
      <c r="H27" s="10" t="n"/>
      <c r="I27" s="4" t="n"/>
      <c r="J27" s="4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9" t="n"/>
      <c r="T27" s="30" t="n"/>
      <c r="U27" s="30" t="n"/>
    </row>
    <row r="28">
      <c r="B28" s="3" t="n"/>
      <c r="C28" s="26" t="n"/>
      <c r="D28" s="3" t="n"/>
      <c r="E28" s="4" t="n"/>
      <c r="F28" s="3" t="n"/>
      <c r="H28" s="10" t="n"/>
      <c r="I28" s="4" t="n"/>
      <c r="J28" s="4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9" t="n"/>
      <c r="T28" s="30" t="n"/>
      <c r="U28" s="30" t="n"/>
    </row>
    <row r="29">
      <c r="B29" s="3" t="n"/>
      <c r="C29" s="26" t="n"/>
      <c r="D29" s="3" t="n"/>
      <c r="E29" s="4" t="n"/>
      <c r="F29" s="3" t="n"/>
      <c r="H29" s="10" t="n"/>
      <c r="I29" s="4" t="n"/>
      <c r="J29" s="4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9" t="n"/>
      <c r="T29" s="30" t="n"/>
      <c r="U29" s="30" t="n"/>
    </row>
    <row r="30">
      <c r="B30" s="3" t="n"/>
      <c r="C30" s="26" t="n"/>
      <c r="D30" s="3" t="n"/>
      <c r="E30" s="4" t="n"/>
      <c r="F30" s="3" t="n"/>
      <c r="H30" s="10" t="n"/>
      <c r="I30" s="4" t="n"/>
      <c r="J30" s="4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9" t="n"/>
      <c r="T30" s="30" t="n"/>
      <c r="U30" s="30" t="n"/>
    </row>
    <row r="31">
      <c r="B31" s="3" t="n"/>
      <c r="C31" s="26" t="n"/>
      <c r="D31" s="3" t="n"/>
      <c r="E31" s="4" t="n"/>
      <c r="F31" s="3" t="n"/>
      <c r="H31" s="10" t="n"/>
      <c r="I31" s="4" t="n"/>
      <c r="J31" s="4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9" t="n"/>
      <c r="T31" s="30" t="n"/>
      <c r="U31" s="30" t="n"/>
    </row>
    <row r="32">
      <c r="B32" s="3" t="n"/>
      <c r="C32" s="26" t="n"/>
      <c r="D32" s="3" t="n"/>
      <c r="E32" s="4" t="n"/>
      <c r="F32" s="3" t="n"/>
      <c r="H32" s="10" t="n"/>
      <c r="I32" s="4" t="n"/>
      <c r="J32" s="4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9" t="n"/>
      <c r="T32" s="30" t="n"/>
      <c r="U32" s="30" t="n"/>
    </row>
    <row r="33">
      <c r="B33" s="3" t="n"/>
      <c r="C33" s="26" t="n"/>
      <c r="D33" s="3" t="n"/>
      <c r="E33" s="4" t="n"/>
      <c r="F33" s="3" t="n"/>
      <c r="H33" s="10" t="n"/>
      <c r="I33" s="4" t="n"/>
      <c r="J33" s="4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9" t="n"/>
      <c r="T33" s="30" t="n"/>
      <c r="U33" s="30" t="n"/>
    </row>
    <row r="34">
      <c r="B34" s="3" t="n"/>
      <c r="C34" s="26" t="n"/>
      <c r="D34" s="3" t="n"/>
      <c r="E34" s="4" t="n"/>
      <c r="F34" s="3" t="n"/>
      <c r="H34" s="10" t="n"/>
      <c r="I34" s="4" t="n"/>
      <c r="J34" s="4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9" t="n"/>
      <c r="T34" s="30" t="n"/>
      <c r="U34" s="30" t="n"/>
    </row>
    <row r="35">
      <c r="B35" s="3" t="n"/>
      <c r="C35" s="26" t="n"/>
      <c r="D35" s="3" t="n"/>
      <c r="E35" s="4" t="n"/>
      <c r="F35" s="3" t="n"/>
      <c r="H35" s="10" t="n"/>
      <c r="I35" s="4" t="n"/>
      <c r="J35" s="4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9" t="n"/>
      <c r="T35" s="30" t="n"/>
      <c r="U35" s="30" t="n"/>
    </row>
    <row r="36">
      <c r="B36" s="3" t="n"/>
      <c r="C36" s="26" t="n"/>
      <c r="D36" s="3" t="n"/>
      <c r="E36" s="4" t="n"/>
      <c r="F36" s="3" t="n"/>
      <c r="H36" s="10" t="n"/>
      <c r="I36" s="4" t="n"/>
      <c r="J36" s="4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9" t="n"/>
      <c r="T36" s="30" t="n"/>
      <c r="U36" s="30" t="n"/>
    </row>
    <row r="37">
      <c r="B37" s="3" t="n"/>
      <c r="C37" s="26" t="n"/>
      <c r="D37" s="3" t="n"/>
      <c r="E37" s="4" t="n"/>
      <c r="F37" s="3" t="n"/>
      <c r="H37" s="10" t="n"/>
      <c r="I37" s="4" t="n"/>
      <c r="J37" s="4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9" t="n"/>
      <c r="T37" s="30" t="n"/>
      <c r="U37" s="30" t="n"/>
    </row>
    <row r="38">
      <c r="B38" s="3" t="n"/>
      <c r="C38" s="26" t="n"/>
      <c r="D38" s="3" t="n"/>
      <c r="E38" s="4" t="n"/>
      <c r="F38" s="3" t="n"/>
      <c r="H38" s="10" t="n"/>
      <c r="I38" s="4" t="n"/>
      <c r="J38" s="4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9" t="n"/>
      <c r="T38" s="30" t="n"/>
      <c r="U38" s="30" t="n"/>
    </row>
    <row r="39">
      <c r="B39" s="3" t="n"/>
      <c r="C39" s="26" t="n"/>
      <c r="D39" s="3" t="n"/>
      <c r="E39" s="4" t="n"/>
      <c r="F39" s="3" t="n"/>
      <c r="H39" s="10" t="n"/>
      <c r="I39" s="4" t="n"/>
      <c r="J39" s="4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9" t="n"/>
      <c r="T39" s="30" t="n"/>
      <c r="U39" s="30" t="n"/>
    </row>
    <row r="40">
      <c r="B40" s="3" t="n"/>
      <c r="C40" s="26" t="n"/>
      <c r="D40" s="3" t="n"/>
      <c r="E40" s="4" t="n"/>
      <c r="F40" s="3" t="n"/>
      <c r="H40" s="10" t="n"/>
      <c r="I40" s="4" t="n"/>
      <c r="J40" s="4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9" t="n"/>
      <c r="T40" s="30" t="n"/>
      <c r="U40" s="30" t="n"/>
    </row>
    <row r="41">
      <c r="B41" s="3" t="n"/>
      <c r="C41" s="26" t="n"/>
      <c r="D41" s="3" t="n"/>
      <c r="E41" s="4" t="n"/>
      <c r="F41" s="3" t="n"/>
      <c r="H41" s="10" t="n"/>
      <c r="I41" s="4" t="n"/>
      <c r="J41" s="4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9" t="n"/>
      <c r="T41" s="30" t="n"/>
      <c r="U41" s="30" t="n"/>
    </row>
    <row r="42">
      <c r="B42" s="3" t="n"/>
      <c r="C42" s="26" t="n"/>
      <c r="D42" s="3" t="n"/>
      <c r="E42" s="4" t="n"/>
      <c r="F42" s="3" t="n"/>
      <c r="H42" s="10" t="n"/>
      <c r="I42" s="4" t="n"/>
      <c r="J42" s="4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9" t="n"/>
      <c r="T42" s="30" t="n"/>
      <c r="U42" s="30" t="n"/>
    </row>
    <row r="43">
      <c r="B43" s="3" t="n"/>
      <c r="C43" s="26" t="n"/>
      <c r="D43" s="3" t="n"/>
      <c r="E43" s="4" t="n"/>
      <c r="F43" s="3" t="n"/>
      <c r="H43" s="10" t="n"/>
      <c r="I43" s="4" t="n"/>
      <c r="J43" s="4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9" t="n"/>
      <c r="T43" s="30" t="n"/>
      <c r="U43" s="30" t="n"/>
    </row>
    <row r="44">
      <c r="B44" s="3" t="n"/>
      <c r="C44" s="26" t="n"/>
      <c r="D44" s="3" t="n"/>
      <c r="E44" s="4" t="n"/>
      <c r="F44" s="3" t="n"/>
      <c r="H44" s="10" t="n"/>
      <c r="I44" s="4" t="n"/>
      <c r="J44" s="4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9" t="n"/>
      <c r="T44" s="30" t="n"/>
      <c r="U44" s="30" t="n"/>
    </row>
    <row r="45">
      <c r="B45" s="3" t="n"/>
      <c r="C45" s="26" t="n"/>
      <c r="D45" s="3" t="n"/>
      <c r="E45" s="4" t="n"/>
      <c r="F45" s="3" t="n"/>
      <c r="H45" s="10" t="n"/>
      <c r="I45" s="4" t="n"/>
      <c r="J45" s="4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9" t="n"/>
      <c r="T45" s="30" t="n"/>
      <c r="U45" s="30" t="n"/>
    </row>
    <row r="46">
      <c r="B46" s="3" t="n"/>
      <c r="C46" s="26" t="n"/>
      <c r="D46" s="3" t="n"/>
      <c r="E46" s="4" t="n"/>
      <c r="F46" s="3" t="n"/>
      <c r="H46" s="10" t="n"/>
      <c r="I46" s="4" t="n"/>
      <c r="J46" s="4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  <c r="T46" s="30" t="n"/>
      <c r="U46" s="30" t="n"/>
    </row>
    <row r="47">
      <c r="B47" s="3" t="n"/>
      <c r="C47" s="26" t="n"/>
      <c r="D47" s="3" t="n"/>
      <c r="E47" s="4" t="n"/>
      <c r="F47" s="3" t="n"/>
      <c r="H47" s="10" t="n"/>
      <c r="I47" s="4" t="n"/>
      <c r="J47" s="4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9" t="n"/>
      <c r="T47" s="30" t="n"/>
      <c r="U47" s="30" t="n"/>
    </row>
    <row r="48">
      <c r="B48" s="3" t="n"/>
      <c r="C48" s="26" t="n"/>
      <c r="D48" s="3" t="n"/>
      <c r="E48" s="4" t="n"/>
      <c r="F48" s="3" t="n"/>
      <c r="H48" s="10" t="n"/>
      <c r="I48" s="4" t="n"/>
      <c r="J48" s="4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9" t="n"/>
      <c r="T48" s="30" t="n"/>
      <c r="U48" s="30" t="n"/>
    </row>
    <row r="49">
      <c r="B49" s="3" t="n"/>
      <c r="C49" s="26" t="n"/>
      <c r="D49" s="3" t="n"/>
      <c r="E49" s="4" t="n"/>
      <c r="F49" s="3" t="n"/>
      <c r="H49" s="10" t="n"/>
      <c r="I49" s="4" t="n"/>
      <c r="J49" s="4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9" t="n"/>
      <c r="T49" s="30" t="n"/>
      <c r="U49" s="30" t="n"/>
    </row>
    <row r="50">
      <c r="B50" s="3" t="n"/>
      <c r="C50" s="26" t="n"/>
      <c r="D50" s="3" t="n"/>
      <c r="E50" s="4" t="n"/>
      <c r="F50" s="3" t="n"/>
      <c r="H50" s="10" t="n"/>
      <c r="I50" s="4" t="n"/>
      <c r="J50" s="4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9" t="n"/>
      <c r="T50" s="30" t="n"/>
      <c r="U50" s="30" t="n"/>
    </row>
    <row r="51">
      <c r="B51" s="3" t="n"/>
      <c r="C51" s="26" t="n"/>
      <c r="D51" s="3" t="n"/>
      <c r="E51" s="4" t="n"/>
      <c r="F51" s="3" t="n"/>
      <c r="H51" s="10" t="n"/>
      <c r="I51" s="4" t="n"/>
      <c r="J51" s="4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9" t="n"/>
      <c r="T51" s="30" t="n"/>
      <c r="U51" s="30" t="n"/>
    </row>
    <row r="52">
      <c r="B52" s="3" t="n"/>
      <c r="C52" s="26" t="n"/>
      <c r="D52" s="3" t="n"/>
      <c r="E52" s="4" t="n"/>
      <c r="F52" s="3" t="n"/>
      <c r="H52" s="10" t="n"/>
      <c r="I52" s="4" t="n"/>
      <c r="J52" s="4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9" t="n"/>
      <c r="T52" s="30" t="n"/>
      <c r="U52" s="30" t="n"/>
    </row>
    <row r="53">
      <c r="B53" s="3" t="n"/>
      <c r="C53" s="26" t="n"/>
      <c r="D53" s="3" t="n"/>
      <c r="E53" s="4" t="n"/>
      <c r="F53" s="3" t="n"/>
      <c r="H53" s="10" t="n"/>
      <c r="I53" s="4" t="n"/>
      <c r="J53" s="4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9" t="n"/>
      <c r="T53" s="30" t="n"/>
      <c r="U53" s="30" t="n"/>
    </row>
    <row r="54">
      <c r="B54" s="3" t="n"/>
      <c r="C54" s="26" t="n"/>
      <c r="D54" s="3" t="n"/>
      <c r="E54" s="4" t="n"/>
      <c r="F54" s="3" t="n"/>
      <c r="H54" s="10" t="n"/>
      <c r="I54" s="4" t="n"/>
      <c r="J54" s="4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9" t="n"/>
      <c r="T54" s="30" t="n"/>
      <c r="U54" s="30" t="n"/>
    </row>
    <row r="55">
      <c r="B55" s="3" t="n"/>
      <c r="C55" s="26" t="n"/>
      <c r="D55" s="3" t="n"/>
      <c r="E55" s="4" t="n"/>
      <c r="F55" s="3" t="n"/>
      <c r="H55" s="10" t="n"/>
      <c r="I55" s="4" t="n"/>
      <c r="J55" s="4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9" t="n"/>
      <c r="T55" s="30" t="n"/>
      <c r="U55" s="30" t="n"/>
    </row>
    <row r="56">
      <c r="B56" s="3" t="n"/>
      <c r="C56" s="26" t="n"/>
      <c r="D56" s="3" t="n"/>
      <c r="E56" s="4" t="n"/>
      <c r="F56" s="3" t="n"/>
      <c r="H56" s="10" t="n"/>
      <c r="I56" s="4" t="n"/>
      <c r="J56" s="4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9" t="n"/>
      <c r="T56" s="30" t="n"/>
      <c r="U56" s="30" t="n"/>
    </row>
    <row r="57">
      <c r="B57" s="3" t="n"/>
      <c r="C57" s="26" t="n"/>
      <c r="D57" s="3" t="n"/>
      <c r="E57" s="4" t="n"/>
      <c r="F57" s="3" t="n"/>
      <c r="H57" s="10" t="n"/>
      <c r="I57" s="4" t="n"/>
      <c r="J57" s="4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9" t="n"/>
      <c r="T57" s="30" t="n"/>
      <c r="U57" s="30" t="n"/>
    </row>
    <row r="58">
      <c r="B58" s="3" t="n"/>
      <c r="C58" s="26" t="n"/>
      <c r="D58" s="3" t="n"/>
      <c r="E58" s="4" t="n"/>
      <c r="F58" s="3" t="n"/>
      <c r="H58" s="10" t="n"/>
      <c r="I58" s="4" t="n"/>
      <c r="J58" s="4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9" t="n"/>
      <c r="T58" s="30" t="n"/>
      <c r="U58" s="30" t="n"/>
    </row>
    <row r="59">
      <c r="B59" s="3" t="n"/>
      <c r="C59" s="26" t="n"/>
      <c r="D59" s="3" t="n"/>
      <c r="E59" s="4" t="n"/>
      <c r="F59" s="3" t="n"/>
      <c r="H59" s="10" t="n"/>
      <c r="I59" s="4" t="n"/>
      <c r="J59" s="4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9" t="n"/>
      <c r="T59" s="30" t="n"/>
      <c r="U59" s="30" t="n"/>
    </row>
    <row r="60">
      <c r="B60" s="3" t="n"/>
      <c r="C60" s="26" t="n"/>
      <c r="D60" s="3" t="n"/>
      <c r="E60" s="4" t="n"/>
      <c r="F60" s="3" t="n"/>
      <c r="H60" s="10" t="n"/>
      <c r="I60" s="4" t="n"/>
      <c r="J60" s="4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30" t="n"/>
      <c r="U60" s="30" t="n"/>
    </row>
    <row r="61">
      <c r="B61" s="3" t="n"/>
      <c r="C61" s="26" t="n"/>
      <c r="D61" s="3" t="n"/>
      <c r="E61" s="4" t="n"/>
      <c r="F61" s="3" t="n"/>
      <c r="H61" s="10" t="n"/>
      <c r="I61" s="4" t="n"/>
      <c r="J61" s="4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9" t="n"/>
      <c r="T61" s="30" t="n"/>
      <c r="U61" s="30" t="n"/>
    </row>
    <row r="62">
      <c r="B62" s="3" t="n"/>
      <c r="C62" s="26" t="n"/>
      <c r="D62" s="3" t="n"/>
      <c r="E62" s="4" t="n"/>
      <c r="F62" s="3" t="n"/>
      <c r="H62" s="10" t="n"/>
      <c r="I62" s="4" t="n"/>
      <c r="J62" s="4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9" t="n"/>
      <c r="T62" s="30" t="n"/>
      <c r="U62" s="30" t="n"/>
    </row>
    <row r="63">
      <c r="B63" s="3" t="n"/>
      <c r="C63" s="26" t="n"/>
      <c r="D63" s="3" t="n"/>
      <c r="E63" s="4" t="n"/>
      <c r="F63" s="3" t="n"/>
      <c r="H63" s="10" t="n"/>
      <c r="I63" s="4" t="n"/>
      <c r="J63" s="4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9" t="n"/>
      <c r="T63" s="30" t="n"/>
      <c r="U63" s="30" t="n"/>
    </row>
    <row r="64">
      <c r="B64" s="3" t="n"/>
      <c r="C64" s="26" t="n"/>
      <c r="D64" s="3" t="n"/>
      <c r="E64" s="4" t="n"/>
      <c r="F64" s="3" t="n"/>
      <c r="H64" s="10" t="n"/>
      <c r="I64" s="4" t="n"/>
      <c r="J64" s="4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9" t="n"/>
      <c r="T64" s="30" t="n"/>
      <c r="U64" s="30" t="n"/>
    </row>
    <row r="65">
      <c r="B65" s="3" t="n"/>
      <c r="C65" s="26" t="n"/>
      <c r="D65" s="3" t="n"/>
      <c r="E65" s="4" t="n"/>
      <c r="F65" s="3" t="n"/>
      <c r="H65" s="10" t="n"/>
      <c r="I65" s="4" t="n"/>
      <c r="J65" s="4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9" t="n"/>
      <c r="T65" s="30" t="n"/>
      <c r="U65" s="30" t="n"/>
    </row>
    <row r="66">
      <c r="B66" s="3" t="n"/>
      <c r="C66" s="26" t="n"/>
      <c r="D66" s="3" t="n"/>
      <c r="E66" s="4" t="n"/>
      <c r="F66" s="3" t="n"/>
      <c r="H66" s="10" t="n"/>
      <c r="I66" s="4" t="n"/>
      <c r="J66" s="4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9" t="n"/>
      <c r="T66" s="30" t="n"/>
      <c r="U66" s="30" t="n"/>
    </row>
    <row r="67">
      <c r="B67" s="3" t="n"/>
      <c r="C67" s="26" t="n"/>
      <c r="D67" s="3" t="n"/>
      <c r="E67" s="4" t="n"/>
      <c r="F67" s="3" t="n"/>
      <c r="H67" s="10" t="n"/>
      <c r="I67" s="4" t="n"/>
      <c r="J67" s="4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9" t="n"/>
      <c r="T67" s="30" t="n"/>
      <c r="U67" s="30" t="n"/>
    </row>
    <row r="68">
      <c r="B68" s="3" t="n"/>
      <c r="C68" s="26" t="n"/>
      <c r="D68" s="3" t="n"/>
      <c r="E68" s="4" t="n"/>
      <c r="F68" s="3" t="n"/>
      <c r="H68" s="10" t="n"/>
      <c r="I68" s="4" t="n"/>
      <c r="J68" s="4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9" t="n"/>
      <c r="T68" s="30" t="n"/>
      <c r="U68" s="30" t="n"/>
    </row>
    <row r="69">
      <c r="B69" s="3" t="n"/>
      <c r="C69" s="26" t="n"/>
      <c r="D69" s="3" t="n"/>
      <c r="E69" s="4" t="n"/>
      <c r="F69" s="3" t="n"/>
      <c r="H69" s="10" t="n"/>
      <c r="I69" s="4" t="n"/>
      <c r="J69" s="4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9" t="n"/>
      <c r="T69" s="30" t="n"/>
      <c r="U69" s="30" t="n"/>
    </row>
    <row r="70">
      <c r="B70" s="3" t="n"/>
      <c r="C70" s="26" t="n"/>
      <c r="D70" s="3" t="n"/>
      <c r="E70" s="4" t="n"/>
      <c r="F70" s="3" t="n"/>
      <c r="H70" s="10" t="n"/>
      <c r="I70" s="4" t="n"/>
      <c r="J70" s="4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9" t="n"/>
      <c r="T70" s="30" t="n"/>
      <c r="U70" s="30" t="n"/>
    </row>
    <row r="71">
      <c r="B71" s="3" t="n"/>
      <c r="C71" s="26" t="n"/>
      <c r="D71" s="3" t="n"/>
      <c r="E71" s="4" t="n"/>
      <c r="F71" s="3" t="n"/>
      <c r="H71" s="10" t="n"/>
      <c r="I71" s="4" t="n"/>
      <c r="J71" s="4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9" t="n"/>
      <c r="T71" s="30" t="n"/>
      <c r="U71" s="30" t="n"/>
    </row>
    <row r="72">
      <c r="B72" s="3" t="n"/>
      <c r="C72" s="26" t="n"/>
      <c r="D72" s="3" t="n"/>
      <c r="E72" s="4" t="n"/>
      <c r="F72" s="3" t="n"/>
      <c r="H72" s="10" t="n"/>
      <c r="I72" s="4" t="n"/>
      <c r="J72" s="4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9" t="n"/>
      <c r="T72" s="30" t="n"/>
      <c r="U72" s="30" t="n"/>
    </row>
    <row r="73">
      <c r="B73" s="3" t="n"/>
      <c r="C73" s="26" t="n"/>
      <c r="D73" s="3" t="n"/>
      <c r="E73" s="4" t="n"/>
      <c r="F73" s="3" t="n"/>
      <c r="H73" s="10" t="n"/>
      <c r="I73" s="4" t="n"/>
      <c r="J73" s="4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9" t="n"/>
      <c r="T73" s="30" t="n"/>
      <c r="U73" s="30" t="n"/>
    </row>
    <row r="74">
      <c r="B74" s="3" t="n"/>
      <c r="C74" s="26" t="n"/>
      <c r="D74" s="3" t="n"/>
      <c r="E74" s="4" t="n"/>
      <c r="F74" s="3" t="n"/>
      <c r="H74" s="10" t="n"/>
      <c r="I74" s="4" t="n"/>
      <c r="J74" s="4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9" t="n"/>
      <c r="T74" s="30" t="n"/>
      <c r="U74" s="30" t="n"/>
    </row>
    <row r="75">
      <c r="B75" s="3" t="n"/>
      <c r="C75" s="26" t="n"/>
      <c r="D75" s="3" t="n"/>
      <c r="E75" s="4" t="n"/>
      <c r="F75" s="3" t="n"/>
      <c r="H75" s="10" t="n"/>
      <c r="I75" s="4" t="n"/>
      <c r="J75" s="4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9" t="n"/>
      <c r="T75" s="30" t="n"/>
      <c r="U75" s="30" t="n"/>
    </row>
    <row r="76">
      <c r="B76" s="3" t="n"/>
      <c r="C76" s="26" t="n"/>
      <c r="D76" s="3" t="n"/>
      <c r="E76" s="4" t="n"/>
      <c r="F76" s="3" t="n"/>
      <c r="H76" s="10" t="n"/>
      <c r="I76" s="4" t="n"/>
      <c r="J76" s="4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9" t="n"/>
      <c r="T76" s="30" t="n"/>
      <c r="U76" s="30" t="n"/>
    </row>
    <row r="77">
      <c r="B77" s="3" t="n"/>
      <c r="C77" s="26" t="n"/>
      <c r="D77" s="3" t="n"/>
      <c r="E77" s="4" t="n"/>
      <c r="F77" s="3" t="n"/>
      <c r="H77" s="10" t="n"/>
      <c r="I77" s="4" t="n"/>
      <c r="J77" s="4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9" t="n"/>
      <c r="T77" s="30" t="n"/>
      <c r="U77" s="30" t="n"/>
    </row>
    <row r="78">
      <c r="B78" s="3" t="n"/>
      <c r="C78" s="26" t="n"/>
      <c r="D78" s="3" t="n"/>
      <c r="E78" s="4" t="n"/>
      <c r="F78" s="3" t="n"/>
      <c r="H78" s="10" t="n"/>
      <c r="I78" s="4" t="n"/>
      <c r="J78" s="4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9" t="n"/>
      <c r="T78" s="30" t="n"/>
      <c r="U78" s="30" t="n"/>
    </row>
    <row r="79">
      <c r="B79" s="3" t="n"/>
      <c r="C79" s="26" t="n"/>
      <c r="D79" s="3" t="n"/>
      <c r="E79" s="4" t="n"/>
      <c r="F79" s="3" t="n"/>
      <c r="H79" s="10" t="n"/>
      <c r="I79" s="4" t="n"/>
      <c r="J79" s="4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9" t="n"/>
      <c r="T79" s="30" t="n"/>
      <c r="U79" s="30" t="n"/>
    </row>
    <row r="80">
      <c r="B80" s="3" t="n"/>
      <c r="C80" s="26" t="n"/>
      <c r="D80" s="3" t="n"/>
      <c r="E80" s="4" t="n"/>
      <c r="F80" s="3" t="n"/>
      <c r="H80" s="10" t="n"/>
      <c r="I80" s="4" t="n"/>
      <c r="J80" s="4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9" t="n"/>
      <c r="T80" s="30" t="n"/>
      <c r="U80" s="30" t="n"/>
    </row>
    <row r="81">
      <c r="B81" s="3" t="n"/>
      <c r="C81" s="26" t="n"/>
      <c r="D81" s="3" t="n"/>
      <c r="E81" s="4" t="n"/>
      <c r="F81" s="3" t="n"/>
      <c r="H81" s="10" t="n"/>
      <c r="I81" s="4" t="n"/>
      <c r="J81" s="4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9" t="n"/>
      <c r="T81" s="30" t="n"/>
      <c r="U81" s="30" t="n"/>
    </row>
    <row r="82">
      <c r="B82" s="3" t="n"/>
      <c r="C82" s="26" t="n"/>
      <c r="D82" s="3" t="n"/>
      <c r="E82" s="4" t="n"/>
      <c r="F82" s="3" t="n"/>
      <c r="H82" s="10" t="n"/>
      <c r="I82" s="4" t="n"/>
      <c r="J82" s="4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9" t="n"/>
      <c r="T82" s="30" t="n"/>
      <c r="U82" s="30" t="n"/>
    </row>
    <row r="83">
      <c r="B83" s="3" t="n"/>
      <c r="C83" s="26" t="n"/>
      <c r="D83" s="3" t="n"/>
      <c r="E83" s="4" t="n"/>
      <c r="F83" s="3" t="n"/>
      <c r="H83" s="10" t="n"/>
      <c r="I83" s="4" t="n"/>
      <c r="J83" s="4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9" t="n"/>
      <c r="T83" s="30" t="n"/>
      <c r="U83" s="30" t="n"/>
    </row>
    <row r="84">
      <c r="B84" s="3" t="n"/>
      <c r="C84" s="26" t="n"/>
      <c r="D84" s="3" t="n"/>
      <c r="E84" s="4" t="n"/>
      <c r="F84" s="3" t="n"/>
      <c r="H84" s="10" t="n"/>
      <c r="I84" s="4" t="n"/>
      <c r="J84" s="4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9" t="n"/>
      <c r="T84" s="30" t="n"/>
      <c r="U84" s="30" t="n"/>
    </row>
    <row r="85">
      <c r="B85" s="3" t="n"/>
      <c r="C85" s="26" t="n"/>
      <c r="D85" s="3" t="n"/>
      <c r="E85" s="4" t="n"/>
      <c r="F85" s="3" t="n"/>
      <c r="H85" s="10" t="n"/>
      <c r="I85" s="4" t="n"/>
      <c r="J85" s="4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9" t="n"/>
      <c r="T85" s="30" t="n"/>
      <c r="U85" s="30" t="n"/>
    </row>
    <row r="86">
      <c r="B86" s="3" t="n"/>
      <c r="C86" s="26" t="n"/>
      <c r="D86" s="3" t="n"/>
      <c r="E86" s="4" t="n"/>
      <c r="F86" s="3" t="n"/>
      <c r="H86" s="10" t="n"/>
      <c r="I86" s="4" t="n"/>
      <c r="J86" s="4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9" t="n"/>
      <c r="T86" s="30" t="n"/>
      <c r="U86" s="30" t="n"/>
    </row>
    <row r="87">
      <c r="B87" s="3" t="n"/>
      <c r="C87" s="26" t="n"/>
      <c r="D87" s="3" t="n"/>
      <c r="E87" s="4" t="n"/>
      <c r="F87" s="3" t="n"/>
      <c r="H87" s="10" t="n"/>
      <c r="I87" s="4" t="n"/>
      <c r="J87" s="4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9" t="n"/>
      <c r="T87" s="30" t="n"/>
      <c r="U87" s="30" t="n"/>
    </row>
    <row r="88">
      <c r="B88" s="3" t="n"/>
      <c r="C88" s="26" t="n"/>
      <c r="D88" s="3" t="n"/>
      <c r="E88" s="4" t="n"/>
      <c r="F88" s="3" t="n"/>
      <c r="H88" s="10" t="n"/>
      <c r="I88" s="4" t="n"/>
      <c r="J88" s="4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9" t="n"/>
      <c r="T88" s="30" t="n"/>
      <c r="U88" s="30" t="n"/>
    </row>
    <row r="89">
      <c r="B89" s="3" t="n"/>
      <c r="C89" s="26" t="n"/>
      <c r="D89" s="3" t="n"/>
      <c r="E89" s="4" t="n"/>
      <c r="F89" s="3" t="n"/>
      <c r="H89" s="10" t="n"/>
      <c r="I89" s="4" t="n"/>
      <c r="J89" s="4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9" t="n"/>
      <c r="T89" s="30" t="n"/>
      <c r="U89" s="30" t="n"/>
    </row>
    <row r="90">
      <c r="B90" s="3" t="n"/>
      <c r="C90" s="26" t="n"/>
      <c r="D90" s="3" t="n"/>
      <c r="E90" s="4" t="n"/>
      <c r="F90" s="3" t="n"/>
      <c r="H90" s="10" t="n"/>
      <c r="I90" s="4" t="n"/>
      <c r="J90" s="4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9" t="n"/>
      <c r="T90" s="30" t="n"/>
      <c r="U90" s="30" t="n"/>
    </row>
    <row r="91">
      <c r="B91" s="3" t="n"/>
      <c r="C91" s="26" t="n"/>
      <c r="D91" s="3" t="n"/>
      <c r="E91" s="4" t="n"/>
      <c r="F91" s="3" t="n"/>
      <c r="H91" s="10" t="n"/>
      <c r="I91" s="4" t="n"/>
      <c r="J91" s="4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9" t="n"/>
      <c r="T91" s="30" t="n"/>
      <c r="U91" s="30" t="n"/>
    </row>
    <row r="92">
      <c r="B92" s="3" t="n"/>
      <c r="C92" s="26" t="n"/>
      <c r="D92" s="3" t="n"/>
      <c r="E92" s="4" t="n"/>
      <c r="F92" s="3" t="n"/>
      <c r="H92" s="10" t="n"/>
      <c r="I92" s="4" t="n"/>
      <c r="J92" s="4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9" t="n"/>
      <c r="T92" s="30" t="n"/>
      <c r="U92" s="30" t="n"/>
    </row>
    <row r="93">
      <c r="B93" s="3" t="n"/>
      <c r="C93" s="26" t="n"/>
      <c r="D93" s="3" t="n"/>
      <c r="E93" s="4" t="n"/>
      <c r="F93" s="3" t="n"/>
      <c r="H93" s="10" t="n"/>
      <c r="I93" s="4" t="n"/>
      <c r="J93" s="4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9" t="n"/>
      <c r="T93" s="30" t="n"/>
      <c r="U93" s="30" t="n"/>
    </row>
    <row r="94">
      <c r="B94" s="3" t="n"/>
      <c r="C94" s="26" t="n"/>
      <c r="D94" s="3" t="n"/>
      <c r="E94" s="4" t="n"/>
      <c r="F94" s="3" t="n"/>
      <c r="H94" s="10" t="n"/>
      <c r="I94" s="4" t="n"/>
      <c r="J94" s="4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9" t="n"/>
      <c r="T94" s="30" t="n"/>
      <c r="U94" s="30" t="n"/>
    </row>
    <row r="95">
      <c r="B95" s="3" t="n"/>
      <c r="C95" s="26" t="n"/>
      <c r="D95" s="3" t="n"/>
      <c r="E95" s="4" t="n"/>
      <c r="F95" s="3" t="n"/>
      <c r="H95" s="10" t="n"/>
      <c r="I95" s="4" t="n"/>
      <c r="J95" s="4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9" t="n"/>
      <c r="T95" s="30" t="n"/>
      <c r="U95" s="30" t="n"/>
    </row>
    <row r="96">
      <c r="B96" s="3" t="n"/>
      <c r="C96" s="26" t="n"/>
      <c r="D96" s="3" t="n"/>
      <c r="E96" s="4" t="n"/>
      <c r="F96" s="3" t="n"/>
      <c r="H96" s="10" t="n"/>
      <c r="I96" s="4" t="n"/>
      <c r="J96" s="4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9" t="n"/>
      <c r="T96" s="30" t="n"/>
      <c r="U96" s="30" t="n"/>
    </row>
    <row r="97">
      <c r="B97" s="3" t="n"/>
      <c r="C97" s="26" t="n"/>
      <c r="D97" s="3" t="n"/>
      <c r="E97" s="4" t="n"/>
      <c r="F97" s="3" t="n"/>
      <c r="H97" s="10" t="n"/>
      <c r="I97" s="4" t="n"/>
      <c r="J97" s="4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9" t="n"/>
      <c r="T97" s="30" t="n"/>
      <c r="U97" s="30" t="n"/>
    </row>
    <row r="98">
      <c r="B98" s="3" t="n"/>
      <c r="C98" s="26" t="n"/>
      <c r="D98" s="3" t="n"/>
      <c r="E98" s="4" t="n"/>
      <c r="F98" s="3" t="n"/>
      <c r="H98" s="10" t="n"/>
      <c r="I98" s="4" t="n"/>
      <c r="J98" s="4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9" t="n"/>
      <c r="T98" s="30" t="n"/>
      <c r="U98" s="30" t="n"/>
    </row>
    <row r="99">
      <c r="B99" s="3" t="n"/>
      <c r="C99" s="26" t="n"/>
      <c r="D99" s="3" t="n"/>
      <c r="E99" s="4" t="n"/>
      <c r="F99" s="3" t="n"/>
      <c r="H99" s="10" t="n"/>
      <c r="I99" s="4" t="n"/>
      <c r="J99" s="4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9" t="n"/>
      <c r="T99" s="30" t="n"/>
      <c r="U99" s="30" t="n"/>
    </row>
    <row r="100">
      <c r="B100" s="3" t="n"/>
      <c r="C100" s="26" t="n"/>
      <c r="D100" s="3" t="n"/>
      <c r="E100" s="4" t="n"/>
      <c r="F100" s="3" t="n"/>
      <c r="H100" s="10" t="n"/>
      <c r="I100" s="4" t="n"/>
      <c r="J100" s="4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9" t="n"/>
      <c r="T100" s="30" t="n"/>
      <c r="U100" s="30" t="n"/>
    </row>
    <row r="101">
      <c r="B101" s="3" t="n"/>
      <c r="C101" s="26" t="n"/>
      <c r="D101" s="3" t="n"/>
      <c r="E101" s="4" t="n"/>
      <c r="F101" s="3" t="n"/>
      <c r="H101" s="10" t="n"/>
      <c r="I101" s="4" t="n"/>
      <c r="J101" s="4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9" t="n"/>
      <c r="T101" s="30" t="n"/>
      <c r="U101" s="30" t="n"/>
    </row>
    <row r="102">
      <c r="B102" s="3" t="n"/>
      <c r="C102" s="26" t="n"/>
      <c r="D102" s="3" t="n"/>
      <c r="E102" s="4" t="n"/>
      <c r="F102" s="3" t="n"/>
      <c r="H102" s="10" t="n"/>
      <c r="I102" s="4" t="n"/>
      <c r="J102" s="4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9" t="n"/>
      <c r="T102" s="30" t="n"/>
      <c r="U102" s="30" t="n"/>
    </row>
    <row r="103">
      <c r="B103" s="3" t="n"/>
      <c r="C103" s="26" t="n"/>
      <c r="D103" s="3" t="n"/>
      <c r="E103" s="4" t="n"/>
      <c r="F103" s="3" t="n"/>
      <c r="H103" s="10" t="n"/>
      <c r="I103" s="4" t="n"/>
      <c r="J103" s="4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9" t="n"/>
      <c r="T103" s="30" t="n"/>
      <c r="U103" s="30" t="n"/>
    </row>
    <row r="104">
      <c r="B104" s="3" t="n"/>
      <c r="C104" s="26" t="n"/>
      <c r="D104" s="3" t="n"/>
      <c r="E104" s="4" t="n"/>
      <c r="F104" s="3" t="n"/>
      <c r="H104" s="10" t="n"/>
      <c r="I104" s="4" t="n"/>
      <c r="J104" s="4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9" t="n"/>
      <c r="T104" s="30" t="n"/>
      <c r="U104" s="30" t="n"/>
    </row>
    <row r="105">
      <c r="B105" s="3" t="n"/>
      <c r="C105" s="26" t="n"/>
      <c r="D105" s="3" t="n"/>
      <c r="E105" s="4" t="n"/>
      <c r="F105" s="3" t="n"/>
      <c r="H105" s="10" t="n"/>
      <c r="I105" s="4" t="n"/>
      <c r="J105" s="4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9" t="n"/>
      <c r="T105" s="30" t="n"/>
      <c r="U105" s="30" t="n"/>
    </row>
    <row r="106">
      <c r="B106" s="3" t="n"/>
      <c r="C106" s="26" t="n"/>
      <c r="D106" s="3" t="n"/>
      <c r="E106" s="4" t="n"/>
      <c r="F106" s="3" t="n"/>
      <c r="H106" s="10" t="n"/>
      <c r="I106" s="4" t="n"/>
      <c r="J106" s="4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9" t="n"/>
      <c r="T106" s="30" t="n"/>
      <c r="U106" s="30" t="n"/>
    </row>
    <row r="107">
      <c r="B107" s="3" t="n"/>
      <c r="C107" s="26" t="n"/>
      <c r="D107" s="3" t="n"/>
      <c r="E107" s="4" t="n"/>
      <c r="F107" s="3" t="n"/>
      <c r="H107" s="10" t="n"/>
      <c r="I107" s="4" t="n"/>
      <c r="J107" s="4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9" t="n"/>
      <c r="T107" s="30" t="n"/>
      <c r="U107" s="30" t="n"/>
    </row>
    <row r="108">
      <c r="B108" s="3" t="n"/>
      <c r="C108" s="26" t="n"/>
      <c r="D108" s="3" t="n"/>
      <c r="E108" s="4" t="n"/>
      <c r="F108" s="3" t="n"/>
      <c r="H108" s="10" t="n"/>
      <c r="I108" s="4" t="n"/>
      <c r="J108" s="4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9" t="n"/>
      <c r="T108" s="30" t="n"/>
      <c r="U108" s="30" t="n"/>
    </row>
    <row r="109">
      <c r="B109" s="3" t="n"/>
      <c r="C109" s="26" t="n"/>
      <c r="D109" s="3" t="n"/>
      <c r="E109" s="4" t="n"/>
      <c r="F109" s="3" t="n"/>
      <c r="H109" s="10" t="n"/>
      <c r="I109" s="4" t="n"/>
      <c r="J109" s="4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9" t="n"/>
      <c r="T109" s="30" t="n"/>
      <c r="U109" s="30" t="n"/>
    </row>
    <row r="110">
      <c r="B110" s="3" t="n"/>
      <c r="C110" s="26" t="n"/>
      <c r="D110" s="3" t="n"/>
      <c r="E110" s="4" t="n"/>
      <c r="F110" s="3" t="n"/>
      <c r="H110" s="10" t="n"/>
      <c r="I110" s="4" t="n"/>
      <c r="J110" s="4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9" t="n"/>
      <c r="T110" s="30" t="n"/>
      <c r="U110" s="30" t="n"/>
    </row>
    <row r="111">
      <c r="B111" s="3" t="n"/>
      <c r="C111" s="26" t="n"/>
      <c r="D111" s="3" t="n"/>
      <c r="E111" s="4" t="n"/>
      <c r="F111" s="3" t="n"/>
      <c r="H111" s="10" t="n"/>
      <c r="I111" s="4" t="n"/>
      <c r="J111" s="4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9" t="n"/>
      <c r="T111" s="30" t="n"/>
      <c r="U111" s="30" t="n"/>
    </row>
    <row r="112">
      <c r="B112" s="3" t="n"/>
      <c r="C112" s="26" t="n"/>
      <c r="D112" s="3" t="n"/>
      <c r="E112" s="4" t="n"/>
      <c r="F112" s="3" t="n"/>
      <c r="H112" s="10" t="n"/>
      <c r="I112" s="4" t="n"/>
      <c r="J112" s="4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9" t="n"/>
      <c r="T112" s="30" t="n"/>
      <c r="U112" s="30" t="n"/>
    </row>
    <row r="113">
      <c r="B113" s="3" t="n"/>
      <c r="C113" s="26" t="n"/>
      <c r="D113" s="3" t="n"/>
      <c r="E113" s="4" t="n"/>
      <c r="F113" s="3" t="n"/>
      <c r="H113" s="10" t="n"/>
      <c r="I113" s="4" t="n"/>
      <c r="J113" s="4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9" t="n"/>
      <c r="T113" s="30" t="n"/>
      <c r="U113" s="30" t="n"/>
    </row>
    <row r="114">
      <c r="B114" s="3" t="n"/>
      <c r="C114" s="26" t="n"/>
      <c r="D114" s="3" t="n"/>
      <c r="E114" s="4" t="n"/>
      <c r="F114" s="3" t="n"/>
      <c r="H114" s="10" t="n"/>
      <c r="I114" s="4" t="n"/>
      <c r="J114" s="4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9" t="n"/>
      <c r="T114" s="30" t="n"/>
      <c r="U114" s="30" t="n"/>
    </row>
    <row r="115">
      <c r="B115" s="3" t="n"/>
      <c r="C115" s="26" t="n"/>
      <c r="D115" s="3" t="n"/>
      <c r="E115" s="4" t="n"/>
      <c r="F115" s="3" t="n"/>
      <c r="H115" s="10" t="n"/>
      <c r="I115" s="4" t="n"/>
      <c r="J115" s="4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9" t="n"/>
      <c r="T115" s="30" t="n"/>
      <c r="U115" s="30" t="n"/>
    </row>
    <row r="116">
      <c r="B116" s="3" t="n"/>
      <c r="C116" s="26" t="n"/>
      <c r="D116" s="3" t="n"/>
      <c r="E116" s="4" t="n"/>
      <c r="F116" s="3" t="n"/>
      <c r="H116" s="10" t="n"/>
      <c r="I116" s="4" t="n"/>
      <c r="J116" s="4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9" t="n"/>
      <c r="T116" s="30" t="n"/>
      <c r="U116" s="30" t="n"/>
    </row>
    <row r="117">
      <c r="B117" s="3" t="n"/>
      <c r="C117" s="26" t="n"/>
      <c r="D117" s="3" t="n"/>
      <c r="E117" s="4" t="n"/>
      <c r="F117" s="3" t="n"/>
      <c r="H117" s="10" t="n"/>
      <c r="I117" s="4" t="n"/>
      <c r="J117" s="4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9" t="n"/>
      <c r="T117" s="30" t="n"/>
      <c r="U117" s="30" t="n"/>
    </row>
    <row r="118">
      <c r="B118" s="3" t="n"/>
      <c r="C118" s="26" t="n"/>
      <c r="D118" s="3" t="n"/>
      <c r="E118" s="4" t="n"/>
      <c r="F118" s="3" t="n"/>
      <c r="H118" s="10" t="n"/>
      <c r="I118" s="4" t="n"/>
      <c r="J118" s="4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9" t="n"/>
      <c r="T118" s="30" t="n"/>
      <c r="U118" s="30" t="n"/>
    </row>
    <row r="119">
      <c r="B119" s="3" t="n"/>
      <c r="C119" s="26" t="n"/>
      <c r="D119" s="3" t="n"/>
      <c r="E119" s="4" t="n"/>
      <c r="F119" s="3" t="n"/>
      <c r="H119" s="10" t="n"/>
      <c r="I119" s="4" t="n"/>
      <c r="J119" s="4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9" t="n"/>
      <c r="T119" s="30" t="n"/>
      <c r="U119" s="30" t="n"/>
    </row>
    <row r="120">
      <c r="B120" s="3" t="n"/>
      <c r="C120" s="26" t="n"/>
      <c r="D120" s="3" t="n"/>
      <c r="E120" s="4" t="n"/>
      <c r="F120" s="3" t="n"/>
      <c r="H120" s="10" t="n"/>
      <c r="I120" s="4" t="n"/>
      <c r="J120" s="4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9" t="n"/>
      <c r="T120" s="30" t="n"/>
      <c r="U120" s="30" t="n"/>
    </row>
    <row r="121">
      <c r="B121" s="3" t="n"/>
      <c r="C121" s="26" t="n"/>
      <c r="D121" s="3" t="n"/>
      <c r="E121" s="4" t="n"/>
      <c r="F121" s="3" t="n"/>
      <c r="H121" s="10" t="n"/>
      <c r="I121" s="4" t="n"/>
      <c r="J121" s="4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9" t="n"/>
      <c r="T121" s="30" t="n"/>
      <c r="U121" s="30" t="n"/>
    </row>
    <row r="122">
      <c r="B122" s="3" t="n"/>
      <c r="C122" s="26" t="n"/>
      <c r="D122" s="3" t="n"/>
      <c r="E122" s="4" t="n"/>
      <c r="F122" s="3" t="n"/>
      <c r="H122" s="10" t="n"/>
      <c r="I122" s="4" t="n"/>
      <c r="J122" s="4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9" t="n"/>
      <c r="T122" s="30" t="n"/>
      <c r="U122" s="30" t="n"/>
    </row>
    <row r="123">
      <c r="B123" s="3" t="n"/>
      <c r="C123" s="26" t="n"/>
      <c r="D123" s="3" t="n"/>
      <c r="E123" s="4" t="n"/>
      <c r="F123" s="3" t="n"/>
      <c r="H123" s="10" t="n"/>
      <c r="I123" s="4" t="n"/>
      <c r="J123" s="4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9" t="n"/>
      <c r="T123" s="30" t="n"/>
      <c r="U123" s="30" t="n"/>
    </row>
    <row r="124">
      <c r="B124" s="3" t="n"/>
      <c r="C124" s="26" t="n"/>
      <c r="D124" s="3" t="n"/>
      <c r="E124" s="4" t="n"/>
      <c r="F124" s="3" t="n"/>
      <c r="H124" s="10" t="n"/>
      <c r="I124" s="4" t="n"/>
      <c r="J124" s="4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9" t="n"/>
      <c r="T124" s="30" t="n"/>
      <c r="U124" s="30" t="n"/>
    </row>
    <row r="125">
      <c r="B125" s="3" t="n"/>
      <c r="C125" s="26" t="n"/>
      <c r="D125" s="3" t="n"/>
      <c r="E125" s="4" t="n"/>
      <c r="F125" s="3" t="n"/>
      <c r="H125" s="10" t="n"/>
      <c r="I125" s="4" t="n"/>
      <c r="J125" s="4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9" t="n"/>
      <c r="T125" s="30" t="n"/>
      <c r="U125" s="30" t="n"/>
    </row>
    <row r="126">
      <c r="B126" s="3" t="n"/>
      <c r="C126" s="26" t="n"/>
      <c r="D126" s="3" t="n"/>
      <c r="E126" s="4" t="n"/>
      <c r="F126" s="3" t="n"/>
      <c r="H126" s="10" t="n"/>
      <c r="I126" s="4" t="n"/>
      <c r="J126" s="4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9" t="n"/>
      <c r="T126" s="30" t="n"/>
      <c r="U126" s="30" t="n"/>
    </row>
    <row r="127">
      <c r="B127" s="3" t="n"/>
      <c r="C127" s="26" t="n"/>
      <c r="D127" s="3" t="n"/>
      <c r="E127" s="4" t="n"/>
      <c r="F127" s="3" t="n"/>
      <c r="H127" s="10" t="n"/>
      <c r="I127" s="4" t="n"/>
      <c r="J127" s="4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9" t="n"/>
      <c r="T127" s="30" t="n"/>
      <c r="U127" s="30" t="n"/>
    </row>
    <row r="128">
      <c r="B128" s="3" t="n"/>
      <c r="C128" s="26" t="n"/>
      <c r="D128" s="3" t="n"/>
      <c r="E128" s="4" t="n"/>
      <c r="F128" s="3" t="n"/>
      <c r="H128" s="10" t="n"/>
      <c r="I128" s="4" t="n"/>
      <c r="J128" s="4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9" t="n"/>
      <c r="T128" s="30" t="n"/>
      <c r="U128" s="30" t="n"/>
    </row>
    <row r="129">
      <c r="B129" s="3" t="n"/>
      <c r="C129" s="26" t="n"/>
      <c r="D129" s="3" t="n"/>
      <c r="E129" s="4" t="n"/>
      <c r="F129" s="3" t="n"/>
      <c r="H129" s="10" t="n"/>
      <c r="I129" s="4" t="n"/>
      <c r="J129" s="4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9" t="n"/>
      <c r="T129" s="30" t="n"/>
      <c r="U129" s="30" t="n"/>
    </row>
    <row r="130">
      <c r="B130" s="3" t="n"/>
      <c r="C130" s="26" t="n"/>
      <c r="D130" s="3" t="n"/>
      <c r="E130" s="4" t="n"/>
      <c r="F130" s="3" t="n"/>
      <c r="H130" s="10" t="n"/>
      <c r="I130" s="4" t="n"/>
      <c r="J130" s="4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9" t="n"/>
      <c r="T130" s="30" t="n"/>
      <c r="U130" s="30" t="n"/>
    </row>
    <row r="131">
      <c r="B131" s="3" t="n"/>
      <c r="C131" s="26" t="n"/>
      <c r="D131" s="3" t="n"/>
      <c r="E131" s="4" t="n"/>
      <c r="F131" s="3" t="n"/>
      <c r="H131" s="10" t="n"/>
      <c r="I131" s="4" t="n"/>
      <c r="J131" s="4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9" t="n"/>
      <c r="T131" s="30" t="n"/>
      <c r="U131" s="30" t="n"/>
    </row>
    <row r="132">
      <c r="B132" s="3" t="n"/>
      <c r="C132" s="26" t="n"/>
      <c r="D132" s="3" t="n"/>
      <c r="E132" s="4" t="n"/>
      <c r="F132" s="3" t="n"/>
      <c r="H132" s="10" t="n"/>
      <c r="I132" s="4" t="n"/>
      <c r="J132" s="4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9" t="n"/>
      <c r="T132" s="30" t="n"/>
      <c r="U132" s="30" t="n"/>
    </row>
    <row r="133">
      <c r="B133" s="3" t="n"/>
      <c r="C133" s="26" t="n"/>
      <c r="D133" s="3" t="n"/>
      <c r="E133" s="4" t="n"/>
      <c r="F133" s="3" t="n"/>
      <c r="H133" s="10" t="n"/>
      <c r="I133" s="4" t="n"/>
      <c r="J133" s="4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9" t="n"/>
      <c r="T133" s="30" t="n"/>
      <c r="U133" s="30" t="n"/>
    </row>
    <row r="134">
      <c r="B134" s="3" t="n"/>
      <c r="C134" s="26" t="n"/>
      <c r="D134" s="3" t="n"/>
      <c r="E134" s="4" t="n"/>
      <c r="F134" s="3" t="n"/>
      <c r="H134" s="10" t="n"/>
      <c r="I134" s="4" t="n"/>
      <c r="J134" s="4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9" t="n"/>
      <c r="T134" s="30" t="n"/>
      <c r="U134" s="30" t="n"/>
    </row>
    <row r="135">
      <c r="B135" s="3" t="n"/>
      <c r="C135" s="26" t="n"/>
      <c r="D135" s="3" t="n"/>
      <c r="E135" s="4" t="n"/>
      <c r="F135" s="3" t="n"/>
      <c r="H135" s="10" t="n"/>
      <c r="I135" s="4" t="n"/>
      <c r="J135" s="4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9" t="n"/>
      <c r="T135" s="30" t="n"/>
      <c r="U135" s="30" t="n"/>
    </row>
    <row r="136">
      <c r="B136" s="3" t="n"/>
      <c r="C136" s="26" t="n"/>
      <c r="D136" s="3" t="n"/>
      <c r="E136" s="4" t="n"/>
      <c r="F136" s="3" t="n"/>
      <c r="H136" s="10" t="n"/>
      <c r="I136" s="4" t="n"/>
      <c r="J136" s="4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9" t="n"/>
      <c r="T136" s="30" t="n"/>
      <c r="U136" s="30" t="n"/>
    </row>
    <row r="137">
      <c r="B137" s="3" t="n"/>
      <c r="C137" s="26" t="n"/>
      <c r="D137" s="3" t="n"/>
      <c r="E137" s="4" t="n"/>
      <c r="F137" s="3" t="n"/>
      <c r="H137" s="10" t="n"/>
      <c r="I137" s="4" t="n"/>
      <c r="J137" s="4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9" t="n"/>
      <c r="T137" s="30" t="n"/>
      <c r="U137" s="30" t="n"/>
    </row>
    <row r="138">
      <c r="B138" s="3" t="n"/>
      <c r="C138" s="26" t="n"/>
      <c r="D138" s="3" t="n"/>
      <c r="E138" s="4" t="n"/>
      <c r="F138" s="3" t="n"/>
      <c r="H138" s="10" t="n"/>
      <c r="I138" s="4" t="n"/>
      <c r="J138" s="4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9" t="n"/>
      <c r="T138" s="30" t="n"/>
      <c r="U138" s="30" t="n"/>
    </row>
    <row r="139">
      <c r="B139" s="3" t="n"/>
      <c r="C139" s="26" t="n"/>
      <c r="D139" s="3" t="n"/>
      <c r="E139" s="4" t="n"/>
      <c r="F139" s="3" t="n"/>
      <c r="H139" s="10" t="n"/>
      <c r="I139" s="4" t="n"/>
      <c r="J139" s="4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9" t="n"/>
      <c r="T139" s="30" t="n"/>
      <c r="U139" s="30" t="n"/>
    </row>
    <row r="140">
      <c r="B140" s="3" t="n"/>
      <c r="C140" s="26" t="n"/>
      <c r="D140" s="3" t="n"/>
      <c r="E140" s="4" t="n"/>
      <c r="F140" s="3" t="n"/>
      <c r="H140" s="10" t="n"/>
      <c r="I140" s="4" t="n"/>
      <c r="J140" s="4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9" t="n"/>
      <c r="T140" s="30" t="n"/>
      <c r="U140" s="30" t="n"/>
    </row>
    <row r="141">
      <c r="B141" s="3" t="n"/>
      <c r="C141" s="26" t="n"/>
      <c r="D141" s="3" t="n"/>
      <c r="E141" s="4" t="n"/>
      <c r="F141" s="3" t="n"/>
      <c r="H141" s="10" t="n"/>
      <c r="I141" s="4" t="n"/>
      <c r="J141" s="4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9" t="n"/>
      <c r="T141" s="30" t="n"/>
      <c r="U141" s="30" t="n"/>
    </row>
    <row r="142">
      <c r="B142" s="3" t="n"/>
      <c r="C142" s="26" t="n"/>
      <c r="D142" s="3" t="n"/>
      <c r="E142" s="4" t="n"/>
      <c r="F142" s="3" t="n"/>
      <c r="H142" s="10" t="n"/>
      <c r="I142" s="4" t="n"/>
      <c r="J142" s="4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9" t="n"/>
      <c r="T142" s="30" t="n"/>
      <c r="U142" s="30" t="n"/>
    </row>
    <row r="143">
      <c r="B143" s="3" t="n"/>
      <c r="C143" s="26" t="n"/>
      <c r="D143" s="3" t="n"/>
      <c r="E143" s="4" t="n"/>
      <c r="F143" s="3" t="n"/>
      <c r="H143" s="10" t="n"/>
      <c r="I143" s="4" t="n"/>
      <c r="J143" s="4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9" t="n"/>
      <c r="T143" s="30" t="n"/>
      <c r="U143" s="30" t="n"/>
    </row>
    <row r="144">
      <c r="B144" s="3" t="n"/>
      <c r="C144" s="26" t="n"/>
      <c r="D144" s="3" t="n"/>
      <c r="E144" s="4" t="n"/>
      <c r="F144" s="3" t="n"/>
      <c r="H144" s="10" t="n"/>
      <c r="I144" s="4" t="n"/>
      <c r="J144" s="4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9" t="n"/>
      <c r="T144" s="30" t="n"/>
      <c r="U144" s="30" t="n"/>
    </row>
    <row r="145">
      <c r="B145" s="3" t="n"/>
      <c r="C145" s="26" t="n"/>
      <c r="D145" s="3" t="n"/>
      <c r="E145" s="4" t="n"/>
      <c r="F145" s="3" t="n"/>
      <c r="H145" s="10" t="n"/>
      <c r="I145" s="4" t="n"/>
      <c r="J145" s="4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9" t="n"/>
      <c r="T145" s="30" t="n"/>
      <c r="U145" s="30" t="n"/>
    </row>
    <row r="146">
      <c r="B146" s="3" t="n"/>
      <c r="C146" s="26" t="n"/>
      <c r="D146" s="3" t="n"/>
      <c r="E146" s="4" t="n"/>
      <c r="F146" s="3" t="n"/>
      <c r="H146" s="10" t="n"/>
      <c r="I146" s="4" t="n"/>
      <c r="J146" s="4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9" t="n"/>
      <c r="T146" s="30" t="n"/>
      <c r="U146" s="30" t="n"/>
    </row>
    <row r="147">
      <c r="B147" s="3" t="n"/>
      <c r="C147" s="26" t="n"/>
      <c r="D147" s="3" t="n"/>
      <c r="E147" s="4" t="n"/>
      <c r="F147" s="3" t="n"/>
      <c r="H147" s="10" t="n"/>
      <c r="I147" s="4" t="n"/>
      <c r="J147" s="4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9" t="n"/>
      <c r="T147" s="30" t="n"/>
      <c r="U147" s="30" t="n"/>
    </row>
    <row r="148">
      <c r="B148" s="3" t="n"/>
      <c r="C148" s="26" t="n"/>
      <c r="D148" s="3" t="n"/>
      <c r="E148" s="4" t="n"/>
      <c r="F148" s="3" t="n"/>
      <c r="H148" s="10" t="n"/>
      <c r="I148" s="4" t="n"/>
      <c r="J148" s="4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9" t="n"/>
      <c r="T148" s="30" t="n"/>
      <c r="U148" s="30" t="n"/>
    </row>
    <row r="149">
      <c r="B149" s="3" t="n"/>
      <c r="C149" s="26" t="n"/>
      <c r="D149" s="3" t="n"/>
      <c r="E149" s="4" t="n"/>
      <c r="F149" s="3" t="n"/>
      <c r="H149" s="10" t="n"/>
      <c r="I149" s="4" t="n"/>
      <c r="J149" s="4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9" t="n"/>
      <c r="T149" s="30" t="n"/>
      <c r="U149" s="30" t="n"/>
    </row>
    <row r="150">
      <c r="B150" s="3" t="n"/>
      <c r="C150" s="26" t="n"/>
      <c r="D150" s="3" t="n"/>
      <c r="E150" s="4" t="n"/>
      <c r="F150" s="3" t="n"/>
      <c r="H150" s="10" t="n"/>
      <c r="I150" s="4" t="n"/>
      <c r="J150" s="4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9" t="n"/>
      <c r="T150" s="30" t="n"/>
      <c r="U150" s="30" t="n"/>
    </row>
    <row r="151">
      <c r="B151" s="3" t="n"/>
      <c r="C151" s="26" t="n"/>
      <c r="D151" s="3" t="n"/>
      <c r="E151" s="4" t="n"/>
      <c r="F151" s="3" t="n"/>
      <c r="H151" s="10" t="n"/>
      <c r="I151" s="4" t="n"/>
      <c r="J151" s="4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9" t="n"/>
      <c r="T151" s="30" t="n"/>
      <c r="U151" s="30" t="n"/>
    </row>
    <row r="152">
      <c r="B152" s="3" t="n"/>
      <c r="C152" s="26" t="n"/>
      <c r="D152" s="3" t="n"/>
      <c r="E152" s="4" t="n"/>
      <c r="F152" s="3" t="n"/>
      <c r="H152" s="10" t="n"/>
      <c r="I152" s="4" t="n"/>
      <c r="J152" s="4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9" t="n"/>
      <c r="T152" s="30" t="n"/>
      <c r="U152" s="30" t="n"/>
    </row>
    <row r="153">
      <c r="B153" s="3" t="n"/>
      <c r="C153" s="26" t="n"/>
      <c r="D153" s="3" t="n"/>
      <c r="E153" s="4" t="n"/>
      <c r="F153" s="3" t="n"/>
      <c r="H153" s="10" t="n"/>
      <c r="I153" s="4" t="n"/>
      <c r="J153" s="4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9" t="n"/>
      <c r="T153" s="30" t="n"/>
      <c r="U153" s="30" t="n"/>
    </row>
    <row r="154">
      <c r="B154" s="3" t="n"/>
      <c r="C154" s="26" t="n"/>
      <c r="D154" s="3" t="n"/>
      <c r="E154" s="4" t="n"/>
      <c r="F154" s="3" t="n"/>
      <c r="H154" s="10" t="n"/>
      <c r="I154" s="4" t="n"/>
      <c r="J154" s="4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9" t="n"/>
      <c r="T154" s="30" t="n"/>
      <c r="U154" s="30" t="n"/>
    </row>
    <row r="155">
      <c r="B155" s="3" t="n"/>
      <c r="C155" s="26" t="n"/>
      <c r="D155" s="3" t="n"/>
      <c r="E155" s="4" t="n"/>
      <c r="F155" s="3" t="n"/>
      <c r="H155" s="10" t="n"/>
      <c r="I155" s="4" t="n"/>
      <c r="J155" s="4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9" t="n"/>
      <c r="T155" s="30" t="n"/>
      <c r="U155" s="30" t="n"/>
    </row>
    <row r="156">
      <c r="B156" s="3" t="n"/>
      <c r="C156" s="26" t="n"/>
      <c r="D156" s="3" t="n"/>
      <c r="E156" s="4" t="n"/>
      <c r="F156" s="3" t="n"/>
      <c r="H156" s="10" t="n"/>
      <c r="I156" s="4" t="n"/>
      <c r="J156" s="4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9" t="n"/>
      <c r="T156" s="30" t="n"/>
      <c r="U156" s="30" t="n"/>
    </row>
    <row r="157">
      <c r="B157" s="3" t="n"/>
      <c r="C157" s="26" t="n"/>
      <c r="D157" s="3" t="n"/>
      <c r="E157" s="4" t="n"/>
      <c r="F157" s="3" t="n"/>
      <c r="H157" s="10" t="n"/>
      <c r="I157" s="4" t="n"/>
      <c r="J157" s="4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9" t="n"/>
      <c r="T157" s="30" t="n"/>
      <c r="U157" s="30" t="n"/>
    </row>
    <row r="158">
      <c r="B158" s="3" t="n"/>
      <c r="C158" s="26" t="n"/>
      <c r="D158" s="3" t="n"/>
      <c r="E158" s="4" t="n"/>
      <c r="F158" s="3" t="n"/>
      <c r="H158" s="10" t="n"/>
      <c r="I158" s="4" t="n"/>
      <c r="J158" s="4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9" t="n"/>
      <c r="T158" s="30" t="n"/>
      <c r="U158" s="30" t="n"/>
    </row>
    <row r="159">
      <c r="B159" s="3" t="n"/>
      <c r="C159" s="26" t="n"/>
      <c r="D159" s="3" t="n"/>
      <c r="E159" s="4" t="n"/>
      <c r="F159" s="3" t="n"/>
      <c r="H159" s="10" t="n"/>
      <c r="I159" s="4" t="n"/>
      <c r="J159" s="4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9" t="n"/>
      <c r="T159" s="30" t="n"/>
      <c r="U159" s="30" t="n"/>
    </row>
    <row r="160">
      <c r="B160" s="3" t="n"/>
      <c r="C160" s="26" t="n"/>
      <c r="D160" s="3" t="n"/>
      <c r="E160" s="4" t="n"/>
      <c r="F160" s="3" t="n"/>
      <c r="H160" s="10" t="n"/>
      <c r="I160" s="4" t="n"/>
      <c r="J160" s="4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9" t="n"/>
      <c r="T160" s="30" t="n"/>
      <c r="U160" s="30" t="n"/>
    </row>
    <row r="161">
      <c r="B161" s="3" t="n"/>
      <c r="C161" s="26" t="n"/>
      <c r="D161" s="3" t="n"/>
      <c r="E161" s="4" t="n"/>
      <c r="F161" s="3" t="n"/>
      <c r="H161" s="10" t="n"/>
      <c r="I161" s="4" t="n"/>
      <c r="J161" s="4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9" t="n"/>
      <c r="T161" s="30" t="n"/>
      <c r="U161" s="30" t="n"/>
    </row>
    <row r="162">
      <c r="B162" s="3" t="n"/>
      <c r="C162" s="26" t="n"/>
      <c r="D162" s="3" t="n"/>
      <c r="E162" s="4" t="n"/>
      <c r="F162" s="3" t="n"/>
      <c r="H162" s="10" t="n"/>
      <c r="I162" s="4" t="n"/>
      <c r="J162" s="4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9" t="n"/>
      <c r="T162" s="30" t="n"/>
      <c r="U162" s="30" t="n"/>
    </row>
    <row r="163">
      <c r="B163" s="3" t="n"/>
      <c r="C163" s="26" t="n"/>
      <c r="D163" s="3" t="n"/>
      <c r="E163" s="4" t="n"/>
      <c r="F163" s="3" t="n"/>
      <c r="H163" s="10" t="n"/>
      <c r="I163" s="4" t="n"/>
      <c r="J163" s="4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9" t="n"/>
      <c r="T163" s="30" t="n"/>
      <c r="U163" s="30" t="n"/>
    </row>
    <row r="164">
      <c r="B164" s="3" t="n"/>
      <c r="C164" s="26" t="n"/>
      <c r="D164" s="3" t="n"/>
      <c r="E164" s="4" t="n"/>
      <c r="F164" s="3" t="n"/>
      <c r="H164" s="10" t="n"/>
      <c r="I164" s="4" t="n"/>
      <c r="J164" s="4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9" t="n"/>
      <c r="T164" s="30" t="n"/>
      <c r="U164" s="30" t="n"/>
    </row>
    <row r="165">
      <c r="B165" s="3" t="n"/>
      <c r="C165" s="26" t="n"/>
      <c r="D165" s="3" t="n"/>
      <c r="E165" s="4" t="n"/>
      <c r="F165" s="3" t="n"/>
      <c r="H165" s="10" t="n"/>
      <c r="I165" s="4" t="n"/>
      <c r="J165" s="4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9" t="n"/>
      <c r="T165" s="30" t="n"/>
      <c r="U165" s="30" t="n"/>
    </row>
    <row r="166">
      <c r="B166" s="3" t="n"/>
      <c r="C166" s="26" t="n"/>
      <c r="D166" s="3" t="n"/>
      <c r="E166" s="4" t="n"/>
      <c r="F166" s="3" t="n"/>
      <c r="H166" s="10" t="n"/>
      <c r="I166" s="4" t="n"/>
      <c r="J166" s="4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9" t="n"/>
      <c r="T166" s="30" t="n"/>
      <c r="U166" s="30" t="n"/>
    </row>
    <row r="167">
      <c r="B167" s="3" t="n"/>
      <c r="C167" s="26" t="n"/>
      <c r="D167" s="3" t="n"/>
      <c r="E167" s="4" t="n"/>
      <c r="F167" s="3" t="n"/>
      <c r="H167" s="10" t="n"/>
      <c r="I167" s="4" t="n"/>
      <c r="J167" s="4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9" t="n"/>
      <c r="T167" s="30" t="n"/>
      <c r="U167" s="30" t="n"/>
    </row>
    <row r="168">
      <c r="B168" s="3" t="n"/>
      <c r="C168" s="26" t="n"/>
      <c r="D168" s="3" t="n"/>
      <c r="E168" s="4" t="n"/>
      <c r="F168" s="3" t="n"/>
      <c r="H168" s="10" t="n"/>
      <c r="I168" s="4" t="n"/>
      <c r="J168" s="4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9" t="n"/>
      <c r="T168" s="30" t="n"/>
      <c r="U168" s="30" t="n"/>
    </row>
    <row r="169">
      <c r="B169" s="3" t="n"/>
      <c r="C169" s="26" t="n"/>
      <c r="D169" s="3" t="n"/>
      <c r="E169" s="4" t="n"/>
      <c r="F169" s="3" t="n"/>
      <c r="H169" s="10" t="n"/>
      <c r="I169" s="4" t="n"/>
      <c r="J169" s="4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9" t="n"/>
      <c r="T169" s="30" t="n"/>
      <c r="U169" s="30" t="n"/>
    </row>
    <row r="170">
      <c r="B170" s="3" t="n"/>
      <c r="C170" s="26" t="n"/>
      <c r="D170" s="3" t="n"/>
      <c r="E170" s="4" t="n"/>
      <c r="F170" s="3" t="n"/>
      <c r="H170" s="10" t="n"/>
      <c r="I170" s="4" t="n"/>
      <c r="J170" s="4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9" t="n"/>
      <c r="T170" s="30" t="n"/>
      <c r="U170" s="30" t="n"/>
    </row>
    <row r="171">
      <c r="B171" s="3" t="n"/>
      <c r="C171" s="26" t="n"/>
      <c r="D171" s="3" t="n"/>
      <c r="E171" s="4" t="n"/>
      <c r="F171" s="3" t="n"/>
      <c r="H171" s="10" t="n"/>
      <c r="I171" s="4" t="n"/>
      <c r="J171" s="4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9" t="n"/>
      <c r="T171" s="30" t="n"/>
      <c r="U171" s="30" t="n"/>
    </row>
    <row r="172">
      <c r="B172" s="3" t="n"/>
      <c r="C172" s="26" t="n"/>
      <c r="D172" s="3" t="n"/>
      <c r="E172" s="4" t="n"/>
      <c r="F172" s="3" t="n"/>
      <c r="H172" s="10" t="n"/>
      <c r="I172" s="4" t="n"/>
      <c r="J172" s="4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9" t="n"/>
      <c r="T172" s="30" t="n"/>
      <c r="U172" s="30" t="n"/>
    </row>
    <row r="173">
      <c r="B173" s="3" t="n"/>
      <c r="C173" s="26" t="n"/>
      <c r="D173" s="3" t="n"/>
      <c r="E173" s="4" t="n"/>
      <c r="F173" s="3" t="n"/>
      <c r="H173" s="10" t="n"/>
      <c r="I173" s="4" t="n"/>
      <c r="J173" s="4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9" t="n"/>
      <c r="T173" s="30" t="n"/>
      <c r="U173" s="30" t="n"/>
    </row>
    <row r="174">
      <c r="B174" s="3" t="n"/>
      <c r="C174" s="26" t="n"/>
      <c r="D174" s="3" t="n"/>
      <c r="E174" s="4" t="n"/>
      <c r="F174" s="3" t="n"/>
      <c r="H174" s="10" t="n"/>
      <c r="I174" s="4" t="n"/>
      <c r="J174" s="4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9" t="n"/>
      <c r="T174" s="30" t="n"/>
      <c r="U174" s="30" t="n"/>
    </row>
    <row r="175">
      <c r="B175" s="3" t="n"/>
      <c r="C175" s="26" t="n"/>
      <c r="D175" s="3" t="n"/>
      <c r="E175" s="4" t="n"/>
      <c r="F175" s="3" t="n"/>
      <c r="H175" s="10" t="n"/>
      <c r="I175" s="4" t="n"/>
      <c r="J175" s="4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9" t="n"/>
      <c r="T175" s="30" t="n"/>
      <c r="U175" s="30" t="n"/>
    </row>
    <row r="176">
      <c r="B176" s="3" t="n"/>
      <c r="C176" s="26" t="n"/>
      <c r="D176" s="3" t="n"/>
      <c r="E176" s="4" t="n"/>
      <c r="F176" s="3" t="n"/>
      <c r="H176" s="10" t="n"/>
      <c r="I176" s="4" t="n"/>
      <c r="J176" s="4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9" t="n"/>
      <c r="T176" s="30" t="n"/>
      <c r="U176" s="30" t="n"/>
    </row>
    <row r="177">
      <c r="B177" s="3" t="n"/>
      <c r="C177" s="26" t="n"/>
      <c r="D177" s="3" t="n"/>
      <c r="E177" s="4" t="n"/>
      <c r="F177" s="3" t="n"/>
      <c r="H177" s="10" t="n"/>
      <c r="I177" s="4" t="n"/>
      <c r="J177" s="4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9" t="n"/>
      <c r="T177" s="30" t="n"/>
      <c r="U177" s="30" t="n"/>
    </row>
    <row r="178">
      <c r="B178" s="3" t="n"/>
      <c r="C178" s="26" t="n"/>
      <c r="D178" s="3" t="n"/>
      <c r="E178" s="4" t="n"/>
      <c r="F178" s="3" t="n"/>
      <c r="H178" s="10" t="n"/>
      <c r="I178" s="4" t="n"/>
      <c r="J178" s="4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9" t="n"/>
      <c r="T178" s="30" t="n"/>
      <c r="U178" s="30" t="n"/>
    </row>
    <row r="179">
      <c r="B179" s="3" t="n"/>
      <c r="C179" s="26" t="n"/>
      <c r="D179" s="3" t="n"/>
      <c r="E179" s="4" t="n"/>
      <c r="F179" s="3" t="n"/>
      <c r="H179" s="10" t="n"/>
      <c r="I179" s="4" t="n"/>
      <c r="J179" s="4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9" t="n"/>
      <c r="T179" s="30" t="n"/>
      <c r="U179" s="30" t="n"/>
    </row>
    <row r="180">
      <c r="B180" s="3" t="n"/>
      <c r="C180" s="26" t="n"/>
      <c r="D180" s="3" t="n"/>
      <c r="E180" s="4" t="n"/>
      <c r="F180" s="3" t="n"/>
      <c r="H180" s="10" t="n"/>
      <c r="I180" s="4" t="n"/>
      <c r="J180" s="4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9" t="n"/>
      <c r="T180" s="30" t="n"/>
      <c r="U180" s="30" t="n"/>
    </row>
    <row r="181">
      <c r="B181" s="3" t="n"/>
      <c r="C181" s="26" t="n"/>
      <c r="D181" s="3" t="n"/>
      <c r="E181" s="4" t="n"/>
      <c r="F181" s="3" t="n"/>
      <c r="H181" s="10" t="n"/>
      <c r="I181" s="4" t="n"/>
      <c r="J181" s="4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9" t="n"/>
      <c r="T181" s="30" t="n"/>
      <c r="U181" s="30" t="n"/>
    </row>
    <row r="182">
      <c r="B182" s="3" t="n"/>
      <c r="C182" s="26" t="n"/>
      <c r="D182" s="3" t="n"/>
      <c r="E182" s="4" t="n"/>
      <c r="F182" s="3" t="n"/>
      <c r="H182" s="10" t="n"/>
      <c r="I182" s="4" t="n"/>
      <c r="J182" s="4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9" t="n"/>
      <c r="T182" s="30" t="n"/>
      <c r="U182" s="30" t="n"/>
    </row>
    <row r="183">
      <c r="B183" s="3" t="n"/>
      <c r="C183" s="26" t="n"/>
      <c r="D183" s="3" t="n"/>
      <c r="E183" s="4" t="n"/>
      <c r="F183" s="3" t="n"/>
      <c r="H183" s="10" t="n"/>
      <c r="I183" s="4" t="n"/>
      <c r="J183" s="4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9" t="n"/>
      <c r="T183" s="30" t="n"/>
      <c r="U183" s="30" t="n"/>
    </row>
    <row r="184">
      <c r="B184" s="3" t="n"/>
      <c r="C184" s="26" t="n"/>
      <c r="D184" s="3" t="n"/>
      <c r="E184" s="4" t="n"/>
      <c r="F184" s="3" t="n"/>
      <c r="H184" s="10" t="n"/>
      <c r="I184" s="4" t="n"/>
      <c r="J184" s="4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9" t="n"/>
      <c r="T184" s="30" t="n"/>
      <c r="U184" s="30" t="n"/>
    </row>
    <row r="185">
      <c r="B185" s="3" t="n"/>
      <c r="C185" s="26" t="n"/>
      <c r="D185" s="3" t="n"/>
      <c r="E185" s="4" t="n"/>
      <c r="F185" s="3" t="n"/>
      <c r="H185" s="10" t="n"/>
      <c r="I185" s="4" t="n"/>
      <c r="J185" s="4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9" t="n"/>
      <c r="T185" s="30" t="n"/>
      <c r="U185" s="30" t="n"/>
    </row>
    <row r="186">
      <c r="B186" s="3" t="n"/>
      <c r="C186" s="26" t="n"/>
      <c r="D186" s="3" t="n"/>
      <c r="E186" s="4" t="n"/>
      <c r="F186" s="3" t="n"/>
      <c r="H186" s="10" t="n"/>
      <c r="I186" s="4" t="n"/>
      <c r="J186" s="4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9" t="n"/>
      <c r="T186" s="30" t="n"/>
      <c r="U186" s="30" t="n"/>
    </row>
    <row r="187">
      <c r="B187" s="3" t="n"/>
      <c r="C187" s="26" t="n"/>
      <c r="D187" s="3" t="n"/>
      <c r="E187" s="4" t="n"/>
      <c r="F187" s="3" t="n"/>
      <c r="H187" s="10" t="n"/>
      <c r="I187" s="4" t="n"/>
      <c r="J187" s="4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9" t="n"/>
      <c r="T187" s="30" t="n"/>
      <c r="U187" s="30" t="n"/>
    </row>
    <row r="188">
      <c r="B188" s="3" t="n"/>
      <c r="C188" s="26" t="n"/>
      <c r="D188" s="3" t="n"/>
      <c r="E188" s="4" t="n"/>
      <c r="F188" s="3" t="n"/>
      <c r="H188" s="10" t="n"/>
      <c r="I188" s="4" t="n"/>
      <c r="J188" s="4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9" t="n"/>
      <c r="T188" s="30" t="n"/>
      <c r="U188" s="30" t="n"/>
    </row>
    <row r="189">
      <c r="B189" s="3" t="n"/>
      <c r="C189" s="26" t="n"/>
      <c r="D189" s="3" t="n"/>
      <c r="E189" s="4" t="n"/>
      <c r="F189" s="3" t="n"/>
      <c r="H189" s="10" t="n"/>
      <c r="I189" s="4" t="n"/>
      <c r="J189" s="4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9" t="n"/>
      <c r="T189" s="30" t="n"/>
      <c r="U189" s="30" t="n"/>
    </row>
    <row r="190">
      <c r="B190" s="3" t="n"/>
      <c r="C190" s="26" t="n"/>
      <c r="D190" s="3" t="n"/>
      <c r="E190" s="4" t="n"/>
      <c r="F190" s="3" t="n"/>
      <c r="H190" s="10" t="n"/>
      <c r="I190" s="4" t="n"/>
      <c r="J190" s="4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9" t="n"/>
      <c r="T190" s="30" t="n"/>
      <c r="U190" s="30" t="n"/>
    </row>
    <row r="191">
      <c r="B191" s="3" t="n"/>
      <c r="C191" s="26" t="n"/>
      <c r="D191" s="3" t="n"/>
      <c r="E191" s="4" t="n"/>
      <c r="F191" s="3" t="n"/>
      <c r="H191" s="10" t="n"/>
      <c r="I191" s="4" t="n"/>
      <c r="J191" s="4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9" t="n"/>
      <c r="T191" s="30" t="n"/>
      <c r="U191" s="30" t="n"/>
    </row>
    <row r="192">
      <c r="B192" s="3" t="n"/>
      <c r="C192" s="26" t="n"/>
      <c r="D192" s="3" t="n"/>
      <c r="E192" s="4" t="n"/>
      <c r="F192" s="3" t="n"/>
      <c r="H192" s="10" t="n"/>
      <c r="I192" s="4" t="n"/>
      <c r="J192" s="4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9" t="n"/>
      <c r="T192" s="30" t="n"/>
      <c r="U192" s="30" t="n"/>
    </row>
    <row r="193">
      <c r="B193" s="3" t="n"/>
      <c r="C193" s="26" t="n"/>
      <c r="D193" s="3" t="n"/>
      <c r="E193" s="4" t="n"/>
      <c r="F193" s="3" t="n"/>
      <c r="H193" s="10" t="n"/>
      <c r="I193" s="4" t="n"/>
      <c r="J193" s="4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9" t="n"/>
      <c r="T193" s="30" t="n"/>
      <c r="U193" s="30" t="n"/>
    </row>
    <row r="194">
      <c r="B194" s="3" t="n"/>
      <c r="C194" s="26" t="n"/>
      <c r="D194" s="3" t="n"/>
      <c r="E194" s="4" t="n"/>
      <c r="F194" s="3" t="n"/>
      <c r="H194" s="10" t="n"/>
      <c r="I194" s="4" t="n"/>
      <c r="J194" s="4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9" t="n"/>
      <c r="T194" s="30" t="n"/>
      <c r="U194" s="30" t="n"/>
    </row>
    <row r="195">
      <c r="B195" s="3" t="n"/>
      <c r="C195" s="26" t="n"/>
      <c r="D195" s="3" t="n"/>
      <c r="E195" s="4" t="n"/>
      <c r="F195" s="3" t="n"/>
      <c r="H195" s="10" t="n"/>
      <c r="I195" s="4" t="n"/>
      <c r="J195" s="4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9" t="n"/>
      <c r="T195" s="30" t="n"/>
      <c r="U195" s="30" t="n"/>
    </row>
    <row r="196">
      <c r="B196" s="3" t="n"/>
      <c r="C196" s="26" t="n"/>
      <c r="D196" s="3" t="n"/>
      <c r="E196" s="4" t="n"/>
      <c r="F196" s="3" t="n"/>
      <c r="H196" s="10" t="n"/>
      <c r="I196" s="4" t="n"/>
      <c r="J196" s="4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9" t="n"/>
      <c r="T196" s="30" t="n"/>
      <c r="U196" s="30" t="n"/>
    </row>
    <row r="197">
      <c r="B197" s="3" t="n"/>
      <c r="C197" s="26" t="n"/>
      <c r="D197" s="3" t="n"/>
      <c r="E197" s="4" t="n"/>
      <c r="F197" s="3" t="n"/>
      <c r="H197" s="10" t="n"/>
      <c r="I197" s="4" t="n"/>
      <c r="J197" s="4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9" t="n"/>
      <c r="T197" s="30" t="n"/>
      <c r="U197" s="30" t="n"/>
    </row>
    <row r="198">
      <c r="B198" s="3" t="n"/>
      <c r="C198" s="26" t="n"/>
      <c r="D198" s="3" t="n"/>
      <c r="E198" s="4" t="n"/>
      <c r="F198" s="3" t="n"/>
      <c r="H198" s="10" t="n"/>
      <c r="I198" s="4" t="n"/>
      <c r="J198" s="4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9" t="n"/>
      <c r="T198" s="30" t="n"/>
      <c r="U198" s="30" t="n"/>
    </row>
    <row r="199">
      <c r="B199" s="3" t="n"/>
      <c r="C199" s="26" t="n"/>
      <c r="D199" s="3" t="n"/>
      <c r="E199" s="4" t="n"/>
      <c r="F199" s="3" t="n"/>
      <c r="H199" s="10" t="n"/>
      <c r="I199" s="4" t="n"/>
      <c r="J199" s="4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9" t="n"/>
      <c r="T199" s="30" t="n"/>
      <c r="U199" s="30" t="n"/>
    </row>
    <row r="200">
      <c r="B200" s="3" t="n"/>
      <c r="C200" s="26" t="n"/>
      <c r="D200" s="3" t="n"/>
      <c r="E200" s="4" t="n"/>
      <c r="F200" s="3" t="n"/>
      <c r="H200" s="10" t="n"/>
      <c r="I200" s="4" t="n"/>
      <c r="J200" s="4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9" t="n"/>
      <c r="T200" s="30" t="n"/>
      <c r="U200" s="30" t="n"/>
    </row>
    <row r="201">
      <c r="B201" s="3" t="n"/>
      <c r="C201" s="26" t="n"/>
      <c r="D201" s="3" t="n"/>
      <c r="E201" s="4" t="n"/>
      <c r="F201" s="3" t="n"/>
      <c r="H201" s="10" t="n"/>
      <c r="I201" s="4" t="n"/>
      <c r="J201" s="4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9" t="n"/>
      <c r="T201" s="30" t="n"/>
      <c r="U201" s="30" t="n"/>
    </row>
    <row r="202">
      <c r="B202" s="3" t="n"/>
      <c r="C202" s="26" t="n"/>
      <c r="D202" s="3" t="n"/>
      <c r="E202" s="4" t="n"/>
      <c r="F202" s="3" t="n"/>
      <c r="H202" s="10" t="n"/>
      <c r="I202" s="4" t="n"/>
      <c r="J202" s="4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9" t="n"/>
      <c r="T202" s="30" t="n"/>
      <c r="U202" s="30" t="n"/>
    </row>
    <row r="203">
      <c r="B203" s="3" t="n"/>
      <c r="C203" s="26" t="n"/>
      <c r="D203" s="3" t="n"/>
      <c r="E203" s="4" t="n"/>
      <c r="F203" s="3" t="n"/>
      <c r="H203" s="10" t="n"/>
      <c r="I203" s="4" t="n"/>
      <c r="J203" s="4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9" t="n"/>
      <c r="T203" s="30" t="n"/>
      <c r="U203" s="30" t="n"/>
    </row>
    <row r="204">
      <c r="B204" s="3" t="n"/>
      <c r="C204" s="26" t="n"/>
      <c r="D204" s="3" t="n"/>
      <c r="E204" s="4" t="n"/>
      <c r="F204" s="3" t="n"/>
      <c r="H204" s="10" t="n"/>
      <c r="I204" s="4" t="n"/>
      <c r="J204" s="4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9" t="n"/>
      <c r="T204" s="30" t="n"/>
      <c r="U204" s="30" t="n"/>
    </row>
    <row r="205">
      <c r="B205" s="3" t="n"/>
      <c r="C205" s="26" t="n"/>
      <c r="D205" s="3" t="n"/>
      <c r="E205" s="4" t="n"/>
      <c r="F205" s="3" t="n"/>
      <c r="H205" s="10" t="n"/>
      <c r="I205" s="4" t="n"/>
      <c r="J205" s="4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9" t="n"/>
      <c r="T205" s="30" t="n"/>
      <c r="U205" s="30" t="n"/>
    </row>
    <row r="206">
      <c r="B206" s="3" t="n"/>
      <c r="C206" s="26" t="n"/>
      <c r="D206" s="3" t="n"/>
      <c r="E206" s="4" t="n"/>
      <c r="F206" s="3" t="n"/>
      <c r="H206" s="10" t="n"/>
      <c r="I206" s="4" t="n"/>
      <c r="J206" s="4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9" t="n"/>
      <c r="T206" s="30" t="n"/>
      <c r="U206" s="30" t="n"/>
    </row>
    <row r="207">
      <c r="B207" s="3" t="n"/>
      <c r="C207" s="26" t="n"/>
      <c r="D207" s="3" t="n"/>
      <c r="E207" s="4" t="n"/>
      <c r="F207" s="3" t="n"/>
      <c r="H207" s="10" t="n"/>
      <c r="I207" s="4" t="n"/>
      <c r="J207" s="4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9" t="n"/>
      <c r="T207" s="30" t="n"/>
      <c r="U207" s="30" t="n"/>
    </row>
    <row r="208">
      <c r="B208" s="3" t="n"/>
      <c r="C208" s="26" t="n"/>
      <c r="D208" s="3" t="n"/>
      <c r="E208" s="4" t="n"/>
      <c r="F208" s="3" t="n"/>
      <c r="H208" s="10" t="n"/>
      <c r="I208" s="4" t="n"/>
      <c r="J208" s="4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9" t="n"/>
      <c r="T208" s="30" t="n"/>
      <c r="U208" s="30" t="n"/>
    </row>
    <row r="209">
      <c r="B209" s="3" t="n"/>
      <c r="C209" s="26" t="n"/>
      <c r="D209" s="3" t="n"/>
      <c r="E209" s="4" t="n"/>
      <c r="F209" s="3" t="n"/>
      <c r="H209" s="10" t="n"/>
      <c r="I209" s="4" t="n"/>
      <c r="J209" s="4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9" t="n"/>
      <c r="T209" s="30" t="n"/>
      <c r="U209" s="30" t="n"/>
    </row>
    <row r="210">
      <c r="B210" s="3" t="n"/>
      <c r="C210" s="26" t="n"/>
      <c r="D210" s="3" t="n"/>
      <c r="E210" s="4" t="n"/>
      <c r="F210" s="3" t="n"/>
      <c r="H210" s="10" t="n"/>
      <c r="I210" s="4" t="n"/>
      <c r="J210" s="4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9" t="n"/>
      <c r="T210" s="30" t="n"/>
      <c r="U210" s="30" t="n"/>
    </row>
    <row r="211">
      <c r="B211" s="3" t="n"/>
      <c r="C211" s="26" t="n"/>
      <c r="D211" s="3" t="n"/>
      <c r="E211" s="4" t="n"/>
      <c r="F211" s="3" t="n"/>
      <c r="H211" s="10" t="n"/>
      <c r="I211" s="4" t="n"/>
      <c r="J211" s="4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9" t="n"/>
      <c r="T211" s="30" t="n"/>
      <c r="U211" s="30" t="n"/>
    </row>
    <row r="212">
      <c r="B212" s="3" t="n"/>
      <c r="C212" s="26" t="n"/>
      <c r="D212" s="3" t="n"/>
      <c r="E212" s="4" t="n"/>
      <c r="F212" s="3" t="n"/>
      <c r="H212" s="10" t="n"/>
      <c r="I212" s="4" t="n"/>
      <c r="J212" s="4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9" t="n"/>
      <c r="T212" s="30" t="n"/>
      <c r="U212" s="30" t="n"/>
    </row>
    <row r="213">
      <c r="B213" s="3" t="n"/>
      <c r="C213" s="26" t="n"/>
      <c r="D213" s="3" t="n"/>
      <c r="E213" s="4" t="n"/>
      <c r="F213" s="3" t="n"/>
      <c r="H213" s="10" t="n"/>
      <c r="I213" s="4" t="n"/>
      <c r="J213" s="4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T213" s="6" t="n"/>
      <c r="U213" s="6" t="n"/>
    </row>
    <row r="214">
      <c r="B214" s="3" t="n"/>
      <c r="C214" s="26" t="n"/>
      <c r="D214" s="3" t="n"/>
      <c r="E214" s="4" t="n"/>
      <c r="F214" s="3" t="n"/>
      <c r="H214" s="10" t="n"/>
      <c r="I214" s="4" t="n"/>
      <c r="J214" s="4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T214" s="6" t="n"/>
      <c r="U214" s="6" t="n"/>
    </row>
    <row r="215">
      <c r="B215" s="3" t="n"/>
      <c r="C215" s="26" t="n"/>
      <c r="D215" s="3" t="n"/>
      <c r="E215" s="4" t="n"/>
      <c r="F215" s="3" t="n"/>
      <c r="H215" s="10" t="n"/>
      <c r="I215" s="4" t="n"/>
      <c r="J215" s="4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T215" s="6" t="n"/>
      <c r="U215" s="6" t="n"/>
    </row>
    <row r="216">
      <c r="B216" s="3" t="n"/>
      <c r="C216" s="26" t="n"/>
      <c r="D216" s="3" t="n"/>
      <c r="E216" s="4" t="n"/>
      <c r="F216" s="3" t="n"/>
      <c r="H216" s="10" t="n"/>
      <c r="I216" s="4" t="n"/>
      <c r="J216" s="4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T216" s="6" t="n"/>
      <c r="U216" s="6" t="n"/>
    </row>
    <row r="217">
      <c r="B217" s="3" t="n"/>
      <c r="C217" s="26" t="n"/>
      <c r="D217" s="3" t="n"/>
      <c r="E217" s="4" t="n"/>
      <c r="F217" s="3" t="n"/>
      <c r="H217" s="10" t="n"/>
      <c r="I217" s="4" t="n"/>
      <c r="J217" s="4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T217" s="6" t="n"/>
      <c r="U217" s="6" t="n"/>
    </row>
    <row r="218">
      <c r="B218" s="3" t="n"/>
      <c r="C218" s="26" t="n"/>
      <c r="D218" s="3" t="n"/>
      <c r="E218" s="4" t="n"/>
      <c r="F218" s="3" t="n"/>
      <c r="H218" s="10" t="n"/>
      <c r="I218" s="4" t="n"/>
      <c r="J218" s="4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T218" s="6" t="n"/>
      <c r="U218" s="6" t="n"/>
    </row>
    <row r="219">
      <c r="B219" s="3" t="n"/>
      <c r="C219" s="26" t="n"/>
      <c r="D219" s="3" t="n"/>
      <c r="E219" s="4" t="n"/>
      <c r="F219" s="3" t="n"/>
      <c r="H219" s="10" t="n"/>
      <c r="I219" s="4" t="n"/>
      <c r="J219" s="4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T219" s="6" t="n"/>
      <c r="U219" s="6" t="n"/>
    </row>
    <row r="220">
      <c r="B220" s="3" t="n"/>
      <c r="C220" s="26" t="n"/>
      <c r="D220" s="3" t="n"/>
      <c r="E220" s="4" t="n"/>
      <c r="F220" s="3" t="n"/>
      <c r="H220" s="10" t="n"/>
      <c r="I220" s="4" t="n"/>
      <c r="J220" s="4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T220" s="6" t="n"/>
      <c r="U220" s="6" t="n"/>
    </row>
    <row r="221">
      <c r="B221" s="3" t="n"/>
      <c r="C221" s="26" t="n"/>
      <c r="D221" s="3" t="n"/>
      <c r="E221" s="4" t="n"/>
      <c r="F221" s="3" t="n"/>
      <c r="H221" s="10" t="n"/>
      <c r="I221" s="4" t="n"/>
      <c r="J221" s="4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T221" s="6" t="n"/>
      <c r="U221" s="6" t="n"/>
    </row>
    <row r="222">
      <c r="B222" s="3" t="n"/>
      <c r="C222" s="26" t="n"/>
      <c r="D222" s="3" t="n"/>
      <c r="E222" s="4" t="n"/>
      <c r="F222" s="3" t="n"/>
      <c r="H222" s="10" t="n"/>
      <c r="I222" s="4" t="n"/>
      <c r="J222" s="4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T222" s="6" t="n"/>
      <c r="U222" s="6" t="n"/>
    </row>
    <row r="223">
      <c r="B223" s="3" t="n"/>
      <c r="C223" s="26" t="n"/>
      <c r="D223" s="3" t="n"/>
      <c r="E223" s="4" t="n"/>
      <c r="F223" s="3" t="n"/>
      <c r="H223" s="10" t="n"/>
      <c r="I223" s="4" t="n"/>
      <c r="J223" s="4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T223" s="6" t="n"/>
      <c r="U223" s="6" t="n"/>
    </row>
    <row r="224">
      <c r="B224" s="3" t="n"/>
      <c r="C224" s="26" t="n"/>
      <c r="D224" s="3" t="n"/>
      <c r="E224" s="4" t="n"/>
      <c r="F224" s="3" t="n"/>
      <c r="H224" s="10" t="n"/>
      <c r="I224" s="4" t="n"/>
      <c r="J224" s="4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T224" s="6" t="n"/>
      <c r="U224" s="6" t="n"/>
    </row>
    <row r="225">
      <c r="B225" s="3" t="n"/>
      <c r="C225" s="26" t="n"/>
      <c r="D225" s="3" t="n"/>
      <c r="E225" s="4" t="n"/>
      <c r="F225" s="3" t="n"/>
      <c r="H225" s="10" t="n"/>
      <c r="I225" s="4" t="n"/>
      <c r="J225" s="4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T225" s="6" t="n"/>
      <c r="U225" s="6" t="n"/>
    </row>
    <row r="226">
      <c r="B226" s="3" t="n"/>
      <c r="C226" s="26" t="n"/>
      <c r="D226" s="3" t="n"/>
      <c r="E226" s="4" t="n"/>
      <c r="F226" s="3" t="n"/>
      <c r="H226" s="10" t="n"/>
      <c r="I226" s="4" t="n"/>
      <c r="J226" s="4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T226" s="6" t="n"/>
      <c r="U226" s="6" t="n"/>
    </row>
    <row r="227">
      <c r="B227" s="3" t="n"/>
      <c r="C227" s="26" t="n"/>
      <c r="D227" s="3" t="n"/>
      <c r="E227" s="4" t="n"/>
      <c r="F227" s="3" t="n"/>
      <c r="H227" s="10" t="n"/>
      <c r="I227" s="4" t="n"/>
      <c r="J227" s="4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T227" s="6" t="n"/>
      <c r="U227" s="6" t="n"/>
    </row>
    <row r="228">
      <c r="B228" s="3" t="n"/>
      <c r="C228" s="26" t="n"/>
      <c r="D228" s="3" t="n"/>
      <c r="E228" s="4" t="n"/>
      <c r="F228" s="3" t="n"/>
      <c r="H228" s="10" t="n"/>
      <c r="I228" s="4" t="n"/>
      <c r="J228" s="4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T228" s="6" t="n"/>
      <c r="U228" s="6" t="n"/>
    </row>
    <row r="229">
      <c r="B229" s="3" t="n"/>
      <c r="C229" s="26" t="n"/>
      <c r="D229" s="3" t="n"/>
      <c r="E229" s="4" t="n"/>
      <c r="F229" s="3" t="n"/>
      <c r="H229" s="10" t="n"/>
      <c r="I229" s="4" t="n"/>
      <c r="J229" s="4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T229" s="6" t="n"/>
      <c r="U229" s="6" t="n"/>
    </row>
    <row r="230">
      <c r="B230" s="3" t="n"/>
      <c r="C230" s="26" t="n"/>
      <c r="D230" s="3" t="n"/>
      <c r="E230" s="4" t="n"/>
      <c r="F230" s="3" t="n"/>
      <c r="H230" s="10" t="n"/>
      <c r="I230" s="4" t="n"/>
      <c r="J230" s="4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T230" s="6" t="n"/>
      <c r="U230" s="6" t="n"/>
    </row>
    <row r="231">
      <c r="B231" s="3" t="n"/>
      <c r="C231" s="26" t="n"/>
      <c r="D231" s="3" t="n"/>
      <c r="E231" s="4" t="n"/>
      <c r="F231" s="3" t="n"/>
      <c r="H231" s="10" t="n"/>
      <c r="I231" s="4" t="n"/>
      <c r="J231" s="4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T231" s="6" t="n"/>
      <c r="U231" s="6" t="n"/>
    </row>
    <row r="232">
      <c r="B232" s="3" t="n"/>
      <c r="C232" s="26" t="n"/>
      <c r="D232" s="3" t="n"/>
      <c r="E232" s="4" t="n"/>
      <c r="F232" s="3" t="n"/>
      <c r="H232" s="10" t="n"/>
      <c r="I232" s="4" t="n"/>
      <c r="J232" s="4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T232" s="6" t="n"/>
      <c r="U232" s="6" t="n"/>
    </row>
    <row r="233">
      <c r="B233" s="3" t="n"/>
      <c r="C233" s="26" t="n"/>
      <c r="D233" s="3" t="n"/>
      <c r="E233" s="4" t="n"/>
      <c r="F233" s="3" t="n"/>
      <c r="H233" s="10" t="n"/>
      <c r="I233" s="4" t="n"/>
      <c r="J233" s="4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T233" s="6" t="n"/>
      <c r="U233" s="6" t="n"/>
    </row>
    <row r="234">
      <c r="B234" s="3" t="n"/>
      <c r="C234" s="26" t="n"/>
      <c r="D234" s="3" t="n"/>
      <c r="E234" s="4" t="n"/>
      <c r="F234" s="3" t="n"/>
      <c r="H234" s="10" t="n"/>
      <c r="I234" s="4" t="n"/>
      <c r="J234" s="4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T234" s="6" t="n"/>
      <c r="U234" s="6" t="n"/>
    </row>
    <row r="235">
      <c r="B235" s="3" t="n"/>
      <c r="C235" s="26" t="n"/>
      <c r="D235" s="3" t="n"/>
      <c r="E235" s="4" t="n"/>
      <c r="F235" s="3" t="n"/>
      <c r="H235" s="10" t="n"/>
      <c r="I235" s="4" t="n"/>
      <c r="J235" s="4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T235" s="6" t="n"/>
      <c r="U235" s="6" t="n"/>
    </row>
    <row r="236">
      <c r="B236" s="3" t="n"/>
      <c r="C236" s="26" t="n"/>
      <c r="D236" s="3" t="n"/>
      <c r="E236" s="4" t="n"/>
      <c r="F236" s="3" t="n"/>
      <c r="H236" s="10" t="n"/>
      <c r="I236" s="4" t="n"/>
      <c r="J236" s="4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T236" s="6" t="n"/>
      <c r="U236" s="6" t="n"/>
    </row>
    <row r="237">
      <c r="B237" s="3" t="n"/>
      <c r="C237" s="26" t="n"/>
      <c r="D237" s="3" t="n"/>
      <c r="E237" s="4" t="n"/>
      <c r="F237" s="3" t="n"/>
      <c r="H237" s="10" t="n"/>
      <c r="I237" s="4" t="n"/>
      <c r="J237" s="4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T237" s="6" t="n"/>
      <c r="U237" s="6" t="n"/>
    </row>
    <row r="238">
      <c r="B238" s="3" t="n"/>
      <c r="C238" s="26" t="n"/>
      <c r="D238" s="3" t="n"/>
      <c r="E238" s="4" t="n"/>
      <c r="F238" s="3" t="n"/>
      <c r="H238" s="10" t="n"/>
      <c r="I238" s="4" t="n"/>
      <c r="J238" s="4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T238" s="6" t="n"/>
      <c r="U238" s="6" t="n"/>
    </row>
    <row r="239">
      <c r="B239" s="3" t="n"/>
      <c r="C239" s="26" t="n"/>
      <c r="D239" s="3" t="n"/>
      <c r="E239" s="4" t="n"/>
      <c r="F239" s="3" t="n"/>
      <c r="H239" s="10" t="n"/>
      <c r="I239" s="4" t="n"/>
      <c r="J239" s="4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T239" s="6" t="n"/>
      <c r="U239" s="6" t="n"/>
    </row>
    <row r="240">
      <c r="B240" s="3" t="n"/>
      <c r="C240" s="26" t="n"/>
      <c r="D240" s="3" t="n"/>
      <c r="E240" s="4" t="n"/>
      <c r="F240" s="3" t="n"/>
      <c r="H240" s="10" t="n"/>
      <c r="I240" s="4" t="n"/>
      <c r="J240" s="4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T240" s="6" t="n"/>
      <c r="U240" s="6" t="n"/>
    </row>
    <row r="241">
      <c r="B241" s="3" t="n"/>
      <c r="C241" s="26" t="n"/>
      <c r="D241" s="3" t="n"/>
      <c r="E241" s="4" t="n"/>
      <c r="F241" s="3" t="n"/>
      <c r="H241" s="10" t="n"/>
      <c r="I241" s="4" t="n"/>
      <c r="J241" s="4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T241" s="6" t="n"/>
      <c r="U241" s="6" t="n"/>
    </row>
    <row r="242">
      <c r="B242" s="3" t="n"/>
      <c r="C242" s="26" t="n"/>
      <c r="D242" s="3" t="n"/>
      <c r="E242" s="4" t="n"/>
      <c r="F242" s="3" t="n"/>
      <c r="H242" s="10" t="n"/>
      <c r="I242" s="4" t="n"/>
      <c r="J242" s="4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T242" s="6" t="n"/>
      <c r="U242" s="6" t="n"/>
    </row>
    <row r="243">
      <c r="B243" s="3" t="n"/>
      <c r="C243" s="26" t="n"/>
      <c r="D243" s="3" t="n"/>
      <c r="E243" s="4" t="n"/>
      <c r="F243" s="3" t="n"/>
      <c r="H243" s="10" t="n"/>
      <c r="I243" s="4" t="n"/>
      <c r="J243" s="4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T243" s="6" t="n"/>
      <c r="U243" s="6" t="n"/>
    </row>
    <row r="244">
      <c r="B244" s="3" t="n"/>
      <c r="C244" s="26" t="n"/>
      <c r="D244" s="3" t="n"/>
      <c r="E244" s="4" t="n"/>
      <c r="F244" s="3" t="n"/>
      <c r="H244" s="10" t="n"/>
      <c r="I244" s="4" t="n"/>
      <c r="J244" s="4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T244" s="6" t="n"/>
      <c r="U244" s="6" t="n"/>
    </row>
    <row r="245">
      <c r="B245" s="3" t="n"/>
      <c r="C245" s="26" t="n"/>
      <c r="D245" s="3" t="n"/>
      <c r="E245" s="4" t="n"/>
      <c r="F245" s="3" t="n"/>
      <c r="H245" s="10" t="n"/>
      <c r="I245" s="4" t="n"/>
      <c r="J245" s="4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T245" s="6" t="n"/>
      <c r="U245" s="6" t="n"/>
    </row>
    <row r="246">
      <c r="B246" s="3" t="n"/>
      <c r="C246" s="26" t="n"/>
      <c r="D246" s="3" t="n"/>
      <c r="E246" s="4" t="n"/>
      <c r="F246" s="3" t="n"/>
      <c r="H246" s="10" t="n"/>
      <c r="I246" s="4" t="n"/>
      <c r="J246" s="4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T246" s="6" t="n"/>
      <c r="U246" s="6" t="n"/>
    </row>
    <row r="247">
      <c r="B247" s="3" t="n"/>
      <c r="C247" s="26" t="n"/>
      <c r="D247" s="3" t="n"/>
      <c r="E247" s="4" t="n"/>
      <c r="F247" s="3" t="n"/>
      <c r="H247" s="10" t="n"/>
      <c r="I247" s="4" t="n"/>
      <c r="J247" s="4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T247" s="6" t="n"/>
      <c r="U247" s="6" t="n"/>
    </row>
    <row r="248">
      <c r="B248" s="3" t="n"/>
      <c r="C248" s="26" t="n"/>
      <c r="D248" s="3" t="n"/>
      <c r="E248" s="4" t="n"/>
      <c r="F248" s="3" t="n"/>
      <c r="H248" s="10" t="n"/>
      <c r="I248" s="4" t="n"/>
      <c r="J248" s="4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T248" s="6" t="n"/>
      <c r="U248" s="6" t="n"/>
    </row>
    <row r="249">
      <c r="B249" s="3" t="n"/>
      <c r="C249" s="26" t="n"/>
      <c r="D249" s="3" t="n"/>
      <c r="E249" s="4" t="n"/>
      <c r="F249" s="3" t="n"/>
      <c r="H249" s="10" t="n"/>
      <c r="I249" s="4" t="n"/>
      <c r="J249" s="4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T249" s="6" t="n"/>
      <c r="U249" s="6" t="n"/>
    </row>
    <row r="250">
      <c r="B250" s="3" t="n"/>
      <c r="C250" s="26" t="n"/>
      <c r="D250" s="3" t="n"/>
      <c r="E250" s="4" t="n"/>
      <c r="F250" s="3" t="n"/>
      <c r="H250" s="10" t="n"/>
      <c r="I250" s="4" t="n"/>
      <c r="J250" s="4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T250" s="6" t="n"/>
      <c r="U250" s="6" t="n"/>
    </row>
    <row r="251">
      <c r="B251" s="3" t="n"/>
      <c r="C251" s="26" t="n"/>
      <c r="D251" s="3" t="n"/>
      <c r="E251" s="4" t="n"/>
      <c r="F251" s="3" t="n"/>
      <c r="H251" s="10" t="n"/>
      <c r="I251" s="4" t="n"/>
      <c r="J251" s="4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T251" s="6" t="n"/>
      <c r="U251" s="6" t="n"/>
    </row>
    <row r="252">
      <c r="B252" s="3" t="n"/>
      <c r="C252" s="26" t="n"/>
      <c r="D252" s="3" t="n"/>
      <c r="E252" s="4" t="n"/>
      <c r="F252" s="3" t="n"/>
      <c r="H252" s="10" t="n"/>
      <c r="I252" s="4" t="n"/>
      <c r="J252" s="4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T252" s="6" t="n"/>
      <c r="U252" s="6" t="n"/>
    </row>
    <row r="253">
      <c r="B253" s="3" t="n"/>
      <c r="C253" s="26" t="n"/>
      <c r="D253" s="3" t="n"/>
      <c r="E253" s="4" t="n"/>
      <c r="F253" s="3" t="n"/>
      <c r="H253" s="10" t="n"/>
      <c r="I253" s="4" t="n"/>
      <c r="J253" s="4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T253" s="6" t="n"/>
      <c r="U253" s="6" t="n"/>
    </row>
    <row r="254">
      <c r="B254" s="3" t="n"/>
      <c r="C254" s="26" t="n"/>
      <c r="D254" s="3" t="n"/>
      <c r="E254" s="4" t="n"/>
      <c r="F254" s="3" t="n"/>
      <c r="H254" s="10" t="n"/>
      <c r="I254" s="4" t="n"/>
      <c r="J254" s="4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T254" s="6" t="n"/>
      <c r="U254" s="6" t="n"/>
    </row>
    <row r="255">
      <c r="B255" s="3" t="n"/>
      <c r="C255" s="26" t="n"/>
      <c r="D255" s="3" t="n"/>
      <c r="E255" s="4" t="n"/>
      <c r="F255" s="3" t="n"/>
      <c r="H255" s="10" t="n"/>
      <c r="I255" s="4" t="n"/>
      <c r="J255" s="4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T255" s="6" t="n"/>
      <c r="U255" s="6" t="n"/>
    </row>
    <row r="256">
      <c r="B256" s="3" t="n"/>
      <c r="C256" s="26" t="n"/>
      <c r="D256" s="3" t="n"/>
      <c r="E256" s="4" t="n"/>
      <c r="F256" s="3" t="n"/>
      <c r="H256" s="10" t="n"/>
      <c r="I256" s="4" t="n"/>
      <c r="J256" s="4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T256" s="6" t="n"/>
      <c r="U256" s="6" t="n"/>
    </row>
    <row r="257">
      <c r="B257" s="3" t="n"/>
      <c r="C257" s="26" t="n"/>
      <c r="D257" s="3" t="n"/>
      <c r="E257" s="4" t="n"/>
      <c r="F257" s="3" t="n"/>
      <c r="H257" s="10" t="n"/>
      <c r="I257" s="4" t="n"/>
      <c r="J257" s="4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T257" s="6" t="n"/>
      <c r="U257" s="6" t="n"/>
    </row>
    <row r="258">
      <c r="B258" s="3" t="n"/>
      <c r="C258" s="26" t="n"/>
      <c r="D258" s="3" t="n"/>
      <c r="E258" s="4" t="n"/>
      <c r="F258" s="3" t="n"/>
      <c r="H258" s="10" t="n"/>
      <c r="I258" s="4" t="n"/>
      <c r="J258" s="4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T258" s="6" t="n"/>
      <c r="U258" s="6" t="n"/>
    </row>
    <row r="259">
      <c r="B259" s="3" t="n"/>
      <c r="C259" s="26" t="n"/>
      <c r="D259" s="3" t="n"/>
      <c r="E259" s="4" t="n"/>
      <c r="F259" s="3" t="n"/>
      <c r="H259" s="10" t="n"/>
      <c r="I259" s="4" t="n"/>
      <c r="J259" s="4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T259" s="6" t="n"/>
      <c r="U259" s="6" t="n"/>
    </row>
    <row r="260">
      <c r="B260" s="3" t="n"/>
      <c r="C260" s="26" t="n"/>
      <c r="D260" s="3" t="n"/>
      <c r="E260" s="4" t="n"/>
      <c r="F260" s="3" t="n"/>
      <c r="H260" s="10" t="n"/>
      <c r="I260" s="4" t="n"/>
      <c r="J260" s="4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T260" s="6" t="n"/>
      <c r="U260" s="6" t="n"/>
    </row>
    <row r="261">
      <c r="B261" s="3" t="n"/>
      <c r="C261" s="26" t="n"/>
      <c r="D261" s="3" t="n"/>
      <c r="E261" s="4" t="n"/>
      <c r="F261" s="3" t="n"/>
      <c r="H261" s="10" t="n"/>
      <c r="I261" s="4" t="n"/>
      <c r="J261" s="4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T261" s="6" t="n"/>
      <c r="U261" s="6" t="n"/>
    </row>
  </sheetData>
  <mergeCells count="15">
    <mergeCell ref="K8:M8"/>
    <mergeCell ref="A8:A9"/>
    <mergeCell ref="E8:E9"/>
    <mergeCell ref="C8:C9"/>
    <mergeCell ref="G8:G9"/>
    <mergeCell ref="F8:F9"/>
    <mergeCell ref="U8:U9"/>
    <mergeCell ref="Q8:Q9"/>
    <mergeCell ref="H8:J8"/>
    <mergeCell ref="D8:D9"/>
    <mergeCell ref="B8:B9"/>
    <mergeCell ref="R8:R9"/>
    <mergeCell ref="S8:S9"/>
    <mergeCell ref="N8:P8"/>
    <mergeCell ref="T8:T9"/>
  </mergeCells>
  <pageMargins left="0.7" right="0.7" top="0.75" bottom="0.75" header="0.3" footer="0.3"/>
  <pageSetup orientation="landscape" paperSize="9" scale="46" fitToHeight="0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7"/>
  <sheetViews>
    <sheetView topLeftCell="A3" zoomScale="85" zoomScaleNormal="85" workbookViewId="0">
      <selection activeCell="D9" sqref="D9"/>
    </sheetView>
  </sheetViews>
  <sheetFormatPr baseColWidth="10" defaultColWidth="11.42578125" defaultRowHeight="15"/>
  <cols>
    <col width="53.42578125" customWidth="1" min="1" max="1"/>
    <col width="16.28515625" customWidth="1" min="4" max="4"/>
    <col width="62.85546875" bestFit="1" customWidth="1" min="5" max="5"/>
    <col width="15" bestFit="1" customWidth="1" min="7" max="7"/>
  </cols>
  <sheetData>
    <row r="1">
      <c r="A1" s="1">
        <f>DATOS!A1</f>
        <v/>
      </c>
    </row>
    <row r="2">
      <c r="A2" s="1" t="inlineStr">
        <is>
          <t>OTROS GASTOS</t>
        </is>
      </c>
    </row>
    <row r="3">
      <c r="A3" s="1" t="inlineStr">
        <is>
          <t>Nº de VIVIENDAS:</t>
        </is>
      </c>
      <c r="B3">
        <f>DATOS!D4</f>
        <v/>
      </c>
    </row>
    <row r="5">
      <c r="B5" s="146" t="inlineStr">
        <is>
          <t>€/MES</t>
        </is>
      </c>
      <c r="C5" t="inlineStr">
        <is>
          <t>TOTAL 1 AÑO</t>
        </is>
      </c>
    </row>
    <row r="6">
      <c r="A6" s="44" t="inlineStr">
        <is>
          <t>LECTURAS CONTADORES ACS</t>
        </is>
      </c>
      <c r="B6" s="45" t="n"/>
      <c r="C6" s="45">
        <f>B6*12</f>
        <v>0</v>
      </c>
    </row>
    <row r="7">
      <c r="A7" s="44" t="inlineStr">
        <is>
          <t>LECTURAS CONTADORES CALEF</t>
        </is>
      </c>
      <c r="B7" s="45" t="n"/>
      <c r="C7" s="45">
        <f>B7*12</f>
        <v/>
      </c>
    </row>
    <row r="8">
      <c r="A8" s="44" t="inlineStr">
        <is>
          <t>MANTENIMIENTO PLACAS SOLARES</t>
        </is>
      </c>
      <c r="B8" s="45" t="n"/>
      <c r="C8" s="45">
        <f>B8*12</f>
        <v/>
      </c>
    </row>
    <row r="9">
      <c r="A9" s="44" t="inlineStr">
        <is>
          <t>MANTENIMIENTO SALA CALDERAS</t>
        </is>
      </c>
      <c r="B9" s="45" t="n"/>
      <c r="C9" s="45">
        <f>B9*12</f>
        <v>0</v>
      </c>
      <c r="E9" s="180"/>
    </row>
    <row r="10">
      <c r="A10" s="44" t="inlineStr">
        <is>
          <t>MANTENIMIENTO CORRECTIVO (REPARACIONES)</t>
        </is>
      </c>
      <c r="C10" s="45">
        <f>F27</f>
        <v/>
      </c>
      <c r="D10" t="inlineStr">
        <is>
          <t>EJERCICIO</t>
        </is>
      </c>
      <c r="G10" t="n">
        <v>2025</v>
      </c>
      <c r="H10" t="n">
        <v>2026</v>
      </c>
      <c r="I10" t="n">
        <v>2027</v>
      </c>
      <c r="J10" t="n">
        <v>2028</v>
      </c>
      <c r="K10" t="n">
        <v>2029</v>
      </c>
      <c r="L10" t="n">
        <v>2030</v>
      </c>
    </row>
    <row r="11">
      <c r="A11" s="44" t="n"/>
      <c r="B11" s="45" t="n"/>
      <c r="C11" s="45" t="n"/>
      <c r="D11" t="inlineStr">
        <is>
          <t>Fecha</t>
        </is>
      </c>
      <c r="E11" t="inlineStr">
        <is>
          <t>Comentario</t>
        </is>
      </c>
      <c r="F11" t="inlineStr">
        <is>
          <t>Debe</t>
        </is>
      </c>
      <c r="G11" t="inlineStr">
        <is>
          <t>AÑO 1</t>
        </is>
      </c>
      <c r="H11" t="inlineStr">
        <is>
          <t>AÑO 2</t>
        </is>
      </c>
      <c r="I11" t="inlineStr">
        <is>
          <t>AÑO 3</t>
        </is>
      </c>
      <c r="J11" t="inlineStr">
        <is>
          <t>AÑO 4</t>
        </is>
      </c>
      <c r="K11" t="inlineStr">
        <is>
          <t>AÑO 5</t>
        </is>
      </c>
    </row>
    <row r="12" ht="15" customHeight="1">
      <c r="B12" s="45" t="n"/>
      <c r="C12" s="45" t="n"/>
      <c r="D12" s="78" t="n"/>
      <c r="F12" s="45" t="n"/>
      <c r="G12" s="45" t="n"/>
      <c r="H12" s="45" t="n"/>
      <c r="I12" s="45" t="n"/>
      <c r="J12" s="45" t="n"/>
      <c r="K12" s="45" t="n"/>
    </row>
    <row r="13" ht="15" customHeight="1">
      <c r="B13" s="45" t="n"/>
      <c r="C13" s="45" t="n"/>
      <c r="D13" s="145" t="n"/>
      <c r="F13" s="45" t="n"/>
      <c r="G13" s="45" t="n"/>
      <c r="H13" s="45" t="n"/>
      <c r="I13" s="45" t="n"/>
      <c r="J13" s="45" t="n"/>
      <c r="K13" s="45" t="n"/>
    </row>
    <row r="14" ht="15" customHeight="1">
      <c r="B14" s="45" t="n"/>
      <c r="C14" s="45" t="n"/>
      <c r="D14" s="145" t="n"/>
      <c r="F14" s="45" t="n"/>
      <c r="G14" s="45" t="n"/>
      <c r="H14" s="45" t="n"/>
      <c r="I14" s="45" t="n"/>
      <c r="J14" s="45" t="n"/>
      <c r="K14" s="45" t="n"/>
    </row>
    <row r="15" ht="15" customHeight="1">
      <c r="B15" s="45" t="n"/>
      <c r="C15" s="45" t="n"/>
      <c r="D15" s="145" t="n"/>
      <c r="F15" s="45" t="n"/>
      <c r="G15" s="45" t="n"/>
      <c r="H15" s="45" t="n"/>
      <c r="I15" s="45" t="n"/>
      <c r="J15" s="45" t="n"/>
      <c r="K15" s="45" t="n"/>
    </row>
    <row r="16" ht="15" customHeight="1">
      <c r="B16" s="45" t="n"/>
      <c r="C16" s="45" t="n"/>
      <c r="D16" s="145" t="n"/>
      <c r="E16" s="192" t="n"/>
      <c r="F16" s="45" t="n"/>
      <c r="H16" s="45" t="n"/>
      <c r="I16" s="45" t="n"/>
      <c r="J16" s="45" t="n"/>
      <c r="K16" s="45" t="n"/>
      <c r="L16" s="45" t="n"/>
    </row>
    <row r="17" ht="15" customHeight="1">
      <c r="B17" s="45" t="n"/>
      <c r="C17" s="45" t="n"/>
      <c r="D17" s="145" t="n"/>
      <c r="F17" s="45" t="n"/>
      <c r="G17" s="45" t="n"/>
      <c r="H17" s="45" t="n"/>
      <c r="I17" s="45" t="n"/>
      <c r="J17" s="45" t="n"/>
      <c r="K17" s="45" t="n"/>
      <c r="O17" s="45" t="n"/>
      <c r="P17" s="45" t="n"/>
      <c r="Q17" s="45" t="n"/>
      <c r="R17" s="45" t="n"/>
      <c r="S17" s="45" t="n"/>
      <c r="T17" s="45" t="n"/>
    </row>
    <row r="18">
      <c r="D18" s="145" t="n"/>
      <c r="F18" s="45" t="n"/>
      <c r="G18" s="45" t="n"/>
      <c r="H18" s="45" t="n"/>
      <c r="I18" s="45" t="n"/>
      <c r="J18" s="45" t="n"/>
      <c r="K18" s="45" t="n"/>
    </row>
    <row r="19">
      <c r="D19" s="145" t="n"/>
      <c r="F19" s="45" t="n"/>
      <c r="G19" s="45" t="n"/>
      <c r="H19" s="45" t="n"/>
      <c r="I19" s="45" t="n"/>
      <c r="J19" s="45" t="n"/>
      <c r="K19" s="45" t="n"/>
    </row>
    <row r="20" ht="15" customHeight="1">
      <c r="D20" s="145" t="n"/>
      <c r="F20" s="45" t="n"/>
      <c r="G20" s="45" t="n"/>
      <c r="H20" s="45" t="n"/>
      <c r="I20" s="45" t="n"/>
      <c r="J20" s="45" t="n"/>
      <c r="K20" s="45" t="n"/>
    </row>
    <row r="21" ht="15" customHeight="1">
      <c r="D21" s="145" t="n"/>
      <c r="F21" s="45" t="n"/>
      <c r="G21" s="45" t="n"/>
      <c r="H21" s="45" t="n"/>
      <c r="I21" s="45" t="n"/>
      <c r="J21" s="45" t="n"/>
      <c r="K21" s="45" t="n"/>
    </row>
    <row r="22" ht="15" customHeight="1">
      <c r="D22" s="145" t="n"/>
      <c r="F22" s="45" t="n"/>
      <c r="G22" s="45" t="n"/>
    </row>
    <row r="23" ht="15" customHeight="1">
      <c r="D23" s="145" t="n"/>
      <c r="F23" s="45" t="n"/>
      <c r="G23" s="45" t="n"/>
      <c r="H23" s="45" t="n"/>
      <c r="I23" s="45" t="n"/>
      <c r="J23" s="45" t="n"/>
      <c r="K23" s="45" t="n"/>
    </row>
    <row r="24" ht="15" customHeight="1">
      <c r="D24" s="145" t="n"/>
      <c r="F24" s="45" t="n"/>
      <c r="G24" s="45" t="n"/>
      <c r="H24" s="45" t="n"/>
      <c r="I24" s="45" t="n"/>
      <c r="J24" s="45" t="n"/>
      <c r="K24" s="45" t="n"/>
    </row>
    <row r="25" ht="15" customHeight="1">
      <c r="D25" s="145" t="n"/>
      <c r="F25" s="45" t="n"/>
      <c r="G25" s="45" t="n"/>
      <c r="H25" s="45" t="n"/>
      <c r="I25" s="45" t="n"/>
      <c r="J25" s="45" t="n"/>
      <c r="K25" s="45" t="n"/>
    </row>
    <row r="26" ht="15" customHeight="1"/>
    <row r="27" ht="15" customHeight="1">
      <c r="D27" s="145" t="n"/>
      <c r="E27" s="47" t="inlineStr">
        <is>
          <t>TOTAL …......</t>
        </is>
      </c>
      <c r="F27" s="45">
        <f>SUM(F12:F26)</f>
        <v/>
      </c>
      <c r="G27" s="45">
        <f>SUM(G12:G26)</f>
        <v/>
      </c>
      <c r="H27" s="45">
        <f>SUM(H12:H26)</f>
        <v/>
      </c>
      <c r="I27" s="45">
        <f>SUM(I12:I26)</f>
        <v/>
      </c>
      <c r="J27" s="45">
        <f>SUM(J12:J26)</f>
        <v/>
      </c>
      <c r="K27" s="45">
        <f>SUM(K12:K26)</f>
        <v/>
      </c>
      <c r="L27" s="45">
        <f>SUM(L12:L26)</f>
        <v/>
      </c>
    </row>
    <row r="28" ht="15" customHeight="1"/>
    <row r="29" ht="15" customHeight="1"/>
    <row r="30" ht="15" customHeight="1"/>
    <row r="31" ht="15" customHeight="1"/>
    <row r="33" ht="15" customHeight="1"/>
    <row r="34" ht="15" customHeight="1"/>
    <row r="36" ht="15" customHeight="1"/>
  </sheetData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9"/>
  <sheetViews>
    <sheetView zoomScale="85" zoomScaleNormal="85" workbookViewId="0">
      <selection activeCell="L27" sqref="L27"/>
    </sheetView>
  </sheetViews>
  <sheetFormatPr baseColWidth="10" defaultColWidth="11.42578125" defaultRowHeight="15"/>
  <cols>
    <col width="11.42578125" customWidth="1" style="1" min="1" max="1"/>
    <col width="15.7109375" customWidth="1" style="1" min="2" max="3"/>
    <col width="12.7109375" customWidth="1" style="29" min="4" max="4"/>
    <col width="15.7109375" customWidth="1" style="1" min="5" max="5"/>
    <col width="12.7109375" customWidth="1" style="29" min="6" max="7"/>
    <col width="15.7109375" customWidth="1" style="29" min="8" max="10"/>
    <col width="5.7109375" customWidth="1" style="1" min="11" max="11"/>
    <col width="15.7109375" customWidth="1" min="12" max="13"/>
    <col width="7.85546875" customWidth="1" min="14" max="14"/>
    <col width="11.42578125" customWidth="1" style="1" min="15" max="16384"/>
  </cols>
  <sheetData>
    <row r="1">
      <c r="A1" s="1">
        <f>DATOS!A1</f>
        <v/>
      </c>
    </row>
    <row r="2">
      <c r="A2" s="1" t="inlineStr">
        <is>
          <t>CONSUMO ACS</t>
        </is>
      </c>
    </row>
    <row r="3">
      <c r="A3" s="1" t="inlineStr">
        <is>
          <t>LECTURAS ACS</t>
        </is>
      </c>
    </row>
    <row r="4">
      <c r="A4" s="1" t="inlineStr">
        <is>
          <t>Nº DE VIVIENDAS</t>
        </is>
      </c>
      <c r="C4">
        <f>DATOS!D4</f>
        <v/>
      </c>
      <c r="D4" s="47" t="n"/>
      <c r="F4" s="47" t="n"/>
      <c r="G4" s="47" t="n"/>
    </row>
    <row r="6" ht="16.5" customFormat="1" customHeight="1" s="13">
      <c r="A6" s="217" t="n"/>
      <c r="B6" s="217" t="inlineStr">
        <is>
          <t>Fecha</t>
        </is>
      </c>
      <c r="C6" s="217" t="inlineStr">
        <is>
          <t>Fecha final</t>
        </is>
      </c>
      <c r="D6" s="217" t="inlineStr">
        <is>
          <t>Lectura final (m3)</t>
        </is>
      </c>
      <c r="E6" s="217" t="inlineStr">
        <is>
          <t>Fecha inicial</t>
        </is>
      </c>
      <c r="F6" s="217" t="inlineStr">
        <is>
          <t>Lectura inicial (m3)</t>
        </is>
      </c>
      <c r="G6" s="221" t="inlineStr">
        <is>
          <t>Consumo  (m3)</t>
        </is>
      </c>
      <c r="H6" s="222" t="inlineStr">
        <is>
          <t>Cuota variable</t>
        </is>
      </c>
      <c r="I6" s="217" t="inlineStr">
        <is>
          <t>Cuota fija</t>
        </is>
      </c>
      <c r="J6" s="217" t="inlineStr">
        <is>
          <t>TOTAL</t>
        </is>
      </c>
      <c r="K6" s="217" t="n"/>
      <c r="L6" s="222" t="inlineStr">
        <is>
          <t>Cuota variable unitario (€/m3)</t>
        </is>
      </c>
      <c r="M6" s="217" t="inlineStr">
        <is>
          <t>Cuota fija unitario (€/Viv.)</t>
        </is>
      </c>
      <c r="N6" s="217" t="n"/>
      <c r="O6" s="1" t="inlineStr">
        <is>
          <t>PERIODO:</t>
        </is>
      </c>
      <c r="P6" s="1" t="inlineStr">
        <is>
          <t>1-agosto-2025 a 31-Julio-2026</t>
        </is>
      </c>
    </row>
    <row r="7" ht="32.25" customFormat="1" customHeight="1" s="13">
      <c r="N7" s="217" t="n"/>
      <c r="O7" s="1" t="inlineStr">
        <is>
          <t>DIAS:</t>
        </is>
      </c>
      <c r="P7" s="1">
        <f>C25-E10</f>
        <v/>
      </c>
    </row>
    <row r="8" ht="14.25" customHeight="1">
      <c r="B8" s="162" t="n"/>
      <c r="C8" s="163" t="n"/>
      <c r="D8" s="48" t="n"/>
      <c r="E8" s="163" t="n"/>
      <c r="F8" s="48" t="n"/>
      <c r="G8" s="172" t="n"/>
      <c r="H8" s="174" t="n"/>
      <c r="I8" s="176" t="n"/>
      <c r="J8" s="179" t="n"/>
      <c r="L8" s="28" t="n"/>
      <c r="M8" s="28" t="n"/>
      <c r="N8" s="28" t="n"/>
    </row>
    <row r="9" ht="14.25" customHeight="1">
      <c r="B9" s="162" t="n"/>
      <c r="C9" s="163" t="n"/>
      <c r="D9" s="48" t="n"/>
      <c r="E9" s="163" t="n"/>
      <c r="F9" s="48" t="n"/>
      <c r="G9" s="172" t="n"/>
      <c r="H9" s="174" t="n"/>
      <c r="I9" s="176" t="n"/>
      <c r="J9" s="179" t="n"/>
      <c r="L9" s="28" t="n"/>
      <c r="M9" s="28" t="n"/>
      <c r="N9" s="28" t="n"/>
    </row>
    <row r="10" ht="14.25" customHeight="1">
      <c r="B10" s="162" t="n"/>
      <c r="C10" s="163" t="n"/>
      <c r="D10" s="48" t="n"/>
      <c r="E10" s="163" t="n"/>
      <c r="F10" s="48" t="n"/>
      <c r="G10" s="172" t="n"/>
      <c r="H10" s="174" t="n"/>
      <c r="I10" s="176" t="n"/>
      <c r="J10" s="179" t="n"/>
      <c r="L10" s="28" t="n"/>
      <c r="M10" s="28" t="n"/>
      <c r="N10" s="28" t="n"/>
      <c r="O10" s="6" t="n"/>
    </row>
    <row r="11" ht="14.25" customHeight="1">
      <c r="B11" s="162" t="n"/>
      <c r="C11" s="163" t="n"/>
      <c r="D11" s="48" t="n"/>
      <c r="E11" s="163" t="n"/>
      <c r="F11" s="48" t="n"/>
      <c r="G11" s="172" t="n"/>
      <c r="H11" s="174" t="n"/>
      <c r="I11" s="176" t="n"/>
      <c r="J11" s="179" t="n"/>
      <c r="L11" s="28" t="n"/>
      <c r="M11" s="28" t="n"/>
      <c r="N11" s="28" t="n"/>
      <c r="O11" s="6" t="n"/>
    </row>
    <row r="12" ht="14.25" customHeight="1">
      <c r="B12" s="162" t="n"/>
      <c r="C12" s="163" t="n"/>
      <c r="D12" s="48" t="n"/>
      <c r="E12" s="163" t="n"/>
      <c r="F12" s="48" t="n"/>
      <c r="G12" s="172" t="n"/>
      <c r="H12" s="174" t="n"/>
      <c r="I12" s="176" t="n"/>
      <c r="J12" s="179" t="n"/>
      <c r="L12" s="28" t="n"/>
      <c r="M12" s="28" t="n"/>
      <c r="N12" s="28" t="n"/>
      <c r="O12" s="6" t="n"/>
    </row>
    <row r="13" ht="14.25" customHeight="1">
      <c r="B13" s="162" t="n"/>
      <c r="C13" s="163" t="n"/>
      <c r="D13" s="48" t="n"/>
      <c r="E13" s="163" t="n"/>
      <c r="F13" s="48" t="n"/>
      <c r="G13" s="172" t="n"/>
      <c r="H13" s="174" t="n"/>
      <c r="I13" s="177" t="n"/>
      <c r="J13" s="179" t="n"/>
      <c r="L13" s="28" t="n"/>
      <c r="M13" s="28" t="n"/>
      <c r="N13" s="28" t="n"/>
      <c r="O13" s="6" t="n"/>
    </row>
    <row r="14" ht="14.25" customHeight="1">
      <c r="B14" s="162" t="n"/>
      <c r="C14" s="163" t="n"/>
      <c r="D14" s="48" t="n"/>
      <c r="E14" s="163" t="n"/>
      <c r="F14" s="48" t="n"/>
      <c r="G14" s="172" t="n"/>
      <c r="H14" s="174" t="n"/>
      <c r="I14" s="176" t="n"/>
      <c r="J14" s="179" t="n"/>
      <c r="L14" s="28" t="n"/>
      <c r="M14" s="28" t="n"/>
      <c r="N14" s="28" t="n"/>
      <c r="O14" s="6" t="n"/>
    </row>
    <row r="15" ht="14.25" customHeight="1">
      <c r="B15" s="162" t="n"/>
      <c r="C15" s="163" t="n"/>
      <c r="D15" s="48" t="n"/>
      <c r="E15" s="163" t="n"/>
      <c r="F15" s="48" t="n"/>
      <c r="G15" s="172" t="n"/>
      <c r="H15" s="174" t="n"/>
      <c r="I15" s="176" t="n"/>
      <c r="J15" s="179" t="n"/>
      <c r="L15" s="28" t="n"/>
      <c r="M15" s="28" t="n"/>
      <c r="N15" s="28" t="n"/>
      <c r="O15" s="6" t="n"/>
    </row>
    <row r="16" ht="14.25" customHeight="1">
      <c r="B16" s="162" t="n"/>
      <c r="C16" s="163" t="n"/>
      <c r="D16" s="48" t="n"/>
      <c r="E16" s="163" t="n"/>
      <c r="F16" s="48" t="n"/>
      <c r="G16" s="172" t="n"/>
      <c r="H16" s="174" t="n"/>
      <c r="I16" s="177" t="n"/>
      <c r="J16" s="179" t="n"/>
      <c r="L16" s="28" t="n"/>
      <c r="M16" s="28" t="n"/>
      <c r="N16" s="28" t="n"/>
      <c r="O16" s="6" t="n"/>
    </row>
    <row r="17" ht="14.25" customHeight="1">
      <c r="B17" s="162" t="n"/>
      <c r="C17" s="163" t="n"/>
      <c r="D17" s="48" t="n"/>
      <c r="E17" s="163" t="n"/>
      <c r="F17" s="48" t="n"/>
      <c r="G17" s="172" t="n"/>
      <c r="H17" s="174" t="n"/>
      <c r="I17" s="176" t="n"/>
      <c r="J17" s="179" t="n"/>
      <c r="L17" s="28" t="n"/>
      <c r="M17" s="28" t="n"/>
      <c r="N17" s="28" t="n"/>
      <c r="O17" s="6" t="n"/>
    </row>
    <row r="18" ht="14.25" customHeight="1">
      <c r="B18" s="162" t="n"/>
      <c r="C18" s="163" t="n"/>
      <c r="D18" s="48" t="n"/>
      <c r="E18" s="163" t="n"/>
      <c r="F18" s="48" t="n"/>
      <c r="G18" s="172" t="n"/>
      <c r="H18" s="174" t="n"/>
      <c r="I18" s="176" t="n"/>
      <c r="J18" s="179" t="n"/>
      <c r="L18" s="28" t="n"/>
      <c r="M18" s="28" t="n"/>
      <c r="N18" s="28" t="n"/>
      <c r="O18" s="6" t="n"/>
    </row>
    <row r="19" ht="14.25" customHeight="1">
      <c r="B19" s="162" t="n"/>
      <c r="C19" s="163" t="n"/>
      <c r="D19" s="48" t="n"/>
      <c r="E19" s="163" t="n"/>
      <c r="F19" s="48" t="n"/>
      <c r="G19" s="172" t="n"/>
      <c r="H19" s="174" t="n"/>
      <c r="I19" s="177" t="n"/>
      <c r="J19" s="179" t="n"/>
      <c r="L19" s="28" t="n"/>
      <c r="M19" s="28" t="n"/>
      <c r="N19" s="28" t="n"/>
      <c r="O19" s="6" t="n"/>
    </row>
    <row r="20" ht="14.25" customHeight="1">
      <c r="B20" s="162" t="n"/>
      <c r="C20" s="163" t="n"/>
      <c r="D20" s="48" t="n"/>
      <c r="E20" s="163" t="n"/>
      <c r="F20" s="48" t="n"/>
      <c r="G20" s="172" t="n"/>
      <c r="H20" s="174" t="n"/>
      <c r="I20" s="176" t="n"/>
      <c r="J20" s="179" t="n"/>
      <c r="L20" s="28" t="n"/>
      <c r="M20" s="28" t="n"/>
      <c r="N20" s="28" t="n"/>
      <c r="O20" s="6" t="n"/>
    </row>
    <row r="21" ht="14.25" customHeight="1">
      <c r="B21" s="162" t="n"/>
      <c r="C21" s="163" t="n"/>
      <c r="D21" s="48" t="n"/>
      <c r="E21" s="163" t="n"/>
      <c r="F21" s="48" t="n"/>
      <c r="G21" s="172" t="n"/>
      <c r="H21" s="174" t="n"/>
      <c r="I21" s="176" t="n"/>
      <c r="J21" s="179" t="n"/>
      <c r="L21" s="28" t="n"/>
      <c r="M21" s="28" t="n"/>
      <c r="N21" s="28" t="n"/>
      <c r="O21" s="6" t="n"/>
      <c r="R21" s="1" t="n"/>
      <c r="S21" s="1" t="n"/>
      <c r="T21" s="1" t="n"/>
    </row>
    <row r="22" ht="14.25" customHeight="1">
      <c r="B22" s="162" t="n"/>
      <c r="C22" s="163" t="n"/>
      <c r="D22" s="48" t="n"/>
      <c r="E22" s="163" t="n"/>
      <c r="F22" s="48" t="n"/>
      <c r="G22" s="172" t="n"/>
      <c r="H22" s="174" t="n"/>
      <c r="I22" s="177" t="n"/>
      <c r="J22" s="179" t="n"/>
      <c r="L22" s="28" t="n"/>
      <c r="M22" s="28" t="n"/>
      <c r="N22" s="28" t="n"/>
      <c r="O22" s="6" t="n"/>
      <c r="R22" s="1" t="n"/>
    </row>
    <row r="23" ht="14.25" customHeight="1">
      <c r="B23" s="162" t="n"/>
      <c r="C23" s="163" t="n"/>
      <c r="D23" s="48" t="n"/>
      <c r="E23" s="163" t="n"/>
      <c r="F23" s="48" t="n"/>
      <c r="G23" s="172" t="n"/>
      <c r="H23" s="174" t="n"/>
      <c r="I23" s="176" t="n"/>
      <c r="J23" s="179" t="n"/>
      <c r="L23" s="28" t="n"/>
      <c r="M23" s="28" t="n"/>
      <c r="N23" s="28" t="n"/>
      <c r="O23" s="6" t="n"/>
      <c r="R23" s="1" t="n"/>
    </row>
    <row r="24" ht="14.25" customHeight="1">
      <c r="B24" s="162" t="n"/>
      <c r="C24" s="163" t="n"/>
      <c r="D24" s="48" t="n"/>
      <c r="E24" s="163" t="n"/>
      <c r="F24" s="48" t="n"/>
      <c r="G24" s="172" t="n"/>
      <c r="H24" s="174" t="n"/>
      <c r="I24" s="176" t="n"/>
      <c r="J24" s="179" t="n"/>
      <c r="L24" s="28" t="n"/>
      <c r="M24" s="28" t="n"/>
      <c r="N24" s="28" t="n"/>
      <c r="O24" s="6" t="n"/>
      <c r="R24" s="1" t="n"/>
      <c r="S24" s="185" t="n"/>
      <c r="T24" s="183" t="n"/>
    </row>
    <row r="25" ht="14.25" customHeight="1">
      <c r="B25" s="170" t="n"/>
      <c r="C25" s="171" t="n"/>
      <c r="D25" s="48" t="n"/>
      <c r="E25" s="171" t="n"/>
      <c r="F25" s="48" t="n"/>
      <c r="G25" s="173" t="n"/>
      <c r="H25" s="175" t="n"/>
      <c r="I25" s="178" t="n"/>
      <c r="J25" s="179" t="n"/>
      <c r="L25" s="28" t="n"/>
      <c r="M25" s="28" t="n"/>
      <c r="N25" s="28" t="n"/>
      <c r="O25" s="6" t="n"/>
    </row>
    <row r="26" ht="14.25" customHeight="1">
      <c r="B26" s="50" t="n"/>
      <c r="C26" s="50" t="n"/>
      <c r="D26" s="49" t="n"/>
      <c r="E26" s="50" t="n"/>
      <c r="F26" s="49" t="n"/>
      <c r="G26" s="49" t="n"/>
      <c r="H26" s="31" t="n"/>
      <c r="I26" s="31" t="n"/>
      <c r="J26" s="31" t="n"/>
      <c r="L26" s="31" t="n"/>
      <c r="M26" s="31" t="n"/>
      <c r="N26" s="28" t="n"/>
      <c r="O26" s="6" t="n"/>
    </row>
    <row r="27" ht="14.25" customHeight="1">
      <c r="B27" s="46" t="n"/>
      <c r="C27" s="46" t="n"/>
      <c r="D27" s="48" t="n"/>
      <c r="E27" s="46" t="n"/>
      <c r="F27" s="48" t="inlineStr">
        <is>
          <t>Suma ….</t>
        </is>
      </c>
      <c r="G27" s="164">
        <f>SUM(G8:G26)</f>
        <v/>
      </c>
      <c r="H27" s="28">
        <f>SUM(H8:H26)</f>
        <v/>
      </c>
      <c r="I27" s="28">
        <f>SUM(I8:I26)</f>
        <v/>
      </c>
      <c r="J27" s="28">
        <f>SUM(J8:J26)</f>
        <v/>
      </c>
      <c r="L27" s="28">
        <f>AVERAGE(L8:L26)</f>
        <v/>
      </c>
      <c r="M27" s="28">
        <f>AVERAGE(M8:M26)</f>
        <v/>
      </c>
      <c r="N27" s="28" t="n"/>
      <c r="R27" s="1">
        <f>R23-T21</f>
        <v/>
      </c>
    </row>
    <row r="28" ht="14.25" customHeight="1">
      <c r="B28" s="46" t="n"/>
      <c r="C28" s="46" t="n"/>
      <c r="D28" s="48" t="n"/>
      <c r="E28" s="46" t="n"/>
      <c r="F28" s="48" t="n"/>
      <c r="G28" s="48" t="n"/>
      <c r="H28" s="28" t="n"/>
      <c r="I28" s="28" t="n"/>
      <c r="J28" s="28" t="n"/>
      <c r="L28" s="28" t="n"/>
      <c r="M28" s="28" t="n"/>
      <c r="N28" s="28" t="n"/>
      <c r="R28" s="1">
        <f>1.99*12</f>
        <v/>
      </c>
    </row>
    <row r="29" ht="14.25" customHeight="1">
      <c r="B29" s="46" t="n"/>
      <c r="C29" s="46" t="n"/>
      <c r="D29" s="48" t="n"/>
      <c r="E29" s="46" t="n"/>
      <c r="F29" s="48" t="n"/>
      <c r="G29" s="48" t="n"/>
      <c r="H29" s="28" t="n"/>
      <c r="I29" s="28" t="n"/>
      <c r="J29" s="28" t="n"/>
      <c r="L29" s="28" t="n"/>
      <c r="M29" s="28" t="n"/>
      <c r="N29" s="28" t="n"/>
    </row>
    <row r="30" ht="14.25" customHeight="1">
      <c r="B30" s="46" t="n"/>
      <c r="C30" s="46" t="n"/>
      <c r="D30" s="48" t="n"/>
      <c r="E30" s="46" t="n"/>
      <c r="F30" s="48" t="n"/>
      <c r="G30" s="48" t="n"/>
      <c r="H30" s="28" t="n"/>
      <c r="I30" s="28" t="n"/>
      <c r="J30" s="28" t="n"/>
      <c r="L30" s="28" t="n"/>
      <c r="M30" s="28" t="n"/>
      <c r="N30" s="28" t="n"/>
    </row>
    <row r="31" ht="14.25" customHeight="1">
      <c r="B31" s="46" t="n"/>
      <c r="C31" s="46" t="n"/>
      <c r="D31" s="48" t="n"/>
      <c r="E31" s="46" t="n"/>
      <c r="F31" s="48" t="n"/>
      <c r="G31" s="48" t="n"/>
      <c r="H31" s="28" t="n"/>
      <c r="I31" s="28" t="n"/>
      <c r="J31" s="28" t="n"/>
      <c r="L31" s="28" t="n"/>
      <c r="M31" s="28" t="n"/>
      <c r="N31" s="28" t="n"/>
    </row>
    <row r="32" ht="14.25" customHeight="1">
      <c r="B32" s="46" t="n"/>
      <c r="C32" s="46" t="n"/>
      <c r="D32" s="48" t="n"/>
      <c r="E32" s="46" t="n"/>
      <c r="F32" s="48" t="n"/>
      <c r="G32" s="48" t="n"/>
      <c r="H32" s="28" t="n"/>
      <c r="I32" s="28" t="n"/>
      <c r="J32" s="28" t="n"/>
      <c r="L32" s="28" t="n"/>
      <c r="M32" s="28" t="n"/>
      <c r="N32" s="28" t="n"/>
    </row>
    <row r="33" ht="14.25" customHeight="1">
      <c r="B33" s="46" t="n"/>
      <c r="C33" s="46" t="n"/>
      <c r="D33" s="48" t="n"/>
      <c r="E33" s="46" t="n"/>
      <c r="F33" s="48" t="n"/>
      <c r="G33" s="48" t="n"/>
      <c r="H33" s="28" t="n"/>
      <c r="I33" s="28" t="n"/>
      <c r="J33" s="28" t="n"/>
      <c r="L33" s="28" t="n"/>
      <c r="M33" s="28" t="n"/>
      <c r="N33" s="28" t="n"/>
      <c r="O33" s="1">
        <f>7.67*3+9*8</f>
        <v/>
      </c>
    </row>
    <row r="34" ht="14.25" customHeight="1">
      <c r="B34" s="46" t="n"/>
      <c r="C34" s="46" t="n"/>
      <c r="D34" s="48" t="n"/>
      <c r="E34" s="46" t="n"/>
      <c r="F34" s="48" t="n"/>
      <c r="G34" s="48" t="n"/>
      <c r="H34" s="28" t="n"/>
      <c r="I34" s="28" t="n"/>
      <c r="J34" s="28" t="n"/>
      <c r="L34" s="28" t="n"/>
      <c r="M34" s="28" t="n"/>
      <c r="N34" s="28" t="n"/>
    </row>
    <row r="35" ht="14.25" customHeight="1">
      <c r="B35" s="46" t="n"/>
      <c r="C35" s="46" t="n"/>
      <c r="D35" s="48" t="n"/>
      <c r="E35" s="46" t="n"/>
      <c r="F35" s="48" t="n"/>
      <c r="G35" s="48" t="n"/>
      <c r="H35" s="28" t="n"/>
      <c r="I35" s="28" t="n"/>
      <c r="J35" s="28" t="n"/>
      <c r="L35" s="28" t="n"/>
      <c r="M35" s="28" t="n"/>
      <c r="N35" s="28" t="n"/>
    </row>
    <row r="36" ht="14.25" customHeight="1">
      <c r="B36" s="46" t="n"/>
      <c r="C36" s="46" t="n"/>
      <c r="D36" s="48" t="n"/>
      <c r="E36" s="46" t="n"/>
      <c r="F36" s="48" t="n"/>
      <c r="G36" s="48" t="n"/>
      <c r="H36" s="28" t="n"/>
      <c r="I36" s="28" t="n"/>
      <c r="J36" s="28" t="n"/>
      <c r="L36" s="28" t="n"/>
      <c r="M36" s="28" t="n"/>
      <c r="N36" s="28" t="n"/>
    </row>
    <row r="37" ht="14.25" customHeight="1">
      <c r="B37" s="46" t="n"/>
      <c r="C37" s="46" t="n"/>
      <c r="D37" s="48" t="n"/>
      <c r="E37" s="46" t="n"/>
      <c r="F37" s="48" t="n"/>
      <c r="G37" s="48" t="n"/>
      <c r="H37" s="28" t="n"/>
      <c r="I37" s="28" t="n"/>
      <c r="J37" s="28" t="n"/>
      <c r="L37" s="28" t="n"/>
      <c r="M37" s="28" t="n"/>
      <c r="N37" s="28" t="n"/>
    </row>
    <row r="38" ht="14.25" customHeight="1">
      <c r="B38" s="46" t="n"/>
      <c r="C38" s="46" t="n"/>
      <c r="D38" s="48" t="n"/>
      <c r="E38" s="46" t="n"/>
      <c r="F38" s="48" t="n"/>
      <c r="G38" s="48" t="n"/>
      <c r="H38" s="28" t="n"/>
      <c r="I38" s="28" t="n"/>
      <c r="J38" s="28" t="n"/>
      <c r="L38" s="28" t="n"/>
      <c r="M38" s="28" t="n"/>
      <c r="N38" s="28" t="n"/>
    </row>
    <row r="39" ht="14.25" customHeight="1">
      <c r="B39" s="46" t="n"/>
      <c r="C39" s="46" t="n"/>
      <c r="D39" s="48" t="n"/>
      <c r="E39" s="46" t="n"/>
      <c r="F39" s="48" t="n"/>
      <c r="G39" s="48" t="n"/>
      <c r="H39" s="28" t="n"/>
      <c r="I39" s="28" t="n"/>
      <c r="J39" s="28" t="n"/>
      <c r="L39" s="28" t="n"/>
      <c r="M39" s="28" t="n"/>
      <c r="N39" s="28" t="n"/>
    </row>
    <row r="40" ht="14.25" customHeight="1">
      <c r="B40" s="46" t="n"/>
      <c r="C40" s="46" t="n"/>
      <c r="D40" s="48" t="n"/>
      <c r="E40" s="46" t="n"/>
      <c r="F40" s="48" t="n"/>
      <c r="G40" s="48" t="n"/>
      <c r="H40" s="28" t="n"/>
      <c r="I40" s="28" t="n"/>
      <c r="J40" s="28" t="n"/>
      <c r="L40" s="28" t="n"/>
      <c r="M40" s="28" t="n"/>
      <c r="N40" s="28" t="n"/>
    </row>
    <row r="41" ht="14.25" customHeight="1">
      <c r="B41" s="46" t="n"/>
      <c r="C41" s="46" t="n"/>
      <c r="D41" s="48" t="n"/>
      <c r="E41" s="46" t="n"/>
      <c r="F41" s="48" t="n"/>
      <c r="G41" s="48" t="n"/>
      <c r="H41" s="28" t="n"/>
      <c r="I41" s="28" t="n"/>
      <c r="J41" s="28" t="n"/>
      <c r="L41" s="28" t="n"/>
      <c r="M41" s="28" t="n"/>
      <c r="N41" s="28" t="n"/>
    </row>
    <row r="42" ht="14.25" customHeight="1">
      <c r="B42" s="46" t="n"/>
      <c r="C42" s="46" t="n"/>
      <c r="D42" s="48" t="n"/>
      <c r="E42" s="46" t="n"/>
      <c r="F42" s="48" t="n"/>
      <c r="G42" s="48" t="n"/>
      <c r="H42" s="28" t="n"/>
      <c r="I42" s="28" t="n"/>
      <c r="J42" s="28" t="n"/>
      <c r="L42" s="28" t="n"/>
      <c r="M42" s="28" t="n"/>
      <c r="N42" s="28" t="n"/>
    </row>
    <row r="43" ht="14.25" customHeight="1">
      <c r="B43" s="46" t="n"/>
      <c r="C43" s="46" t="n"/>
      <c r="D43" s="48" t="n"/>
      <c r="E43" s="46" t="n"/>
      <c r="F43" s="48" t="n"/>
      <c r="G43" s="48" t="n"/>
      <c r="H43" s="28" t="n"/>
      <c r="I43" s="28" t="n"/>
      <c r="J43" s="28" t="n"/>
      <c r="L43" s="28" t="n"/>
      <c r="M43" s="28" t="n"/>
      <c r="N43" s="28" t="n"/>
    </row>
    <row r="44" ht="14.25" customHeight="1">
      <c r="B44" s="46" t="n"/>
      <c r="C44" s="46" t="n"/>
      <c r="D44" s="48" t="n"/>
      <c r="E44" s="46" t="n"/>
      <c r="F44" s="48" t="n"/>
      <c r="G44" s="48" t="n"/>
      <c r="H44" s="28" t="n"/>
      <c r="I44" s="28" t="n"/>
      <c r="J44" s="28" t="n"/>
      <c r="L44" s="28" t="n"/>
      <c r="M44" s="28" t="n"/>
      <c r="N44" s="28" t="n"/>
    </row>
    <row r="45" ht="14.25" customHeight="1">
      <c r="B45" s="46" t="n"/>
      <c r="C45" s="46" t="n"/>
      <c r="D45" s="48" t="n"/>
      <c r="E45" s="46" t="n"/>
      <c r="F45" s="48" t="n"/>
      <c r="G45" s="48" t="n"/>
      <c r="H45" s="28" t="n"/>
      <c r="I45" s="28" t="n"/>
      <c r="J45" s="28" t="n"/>
      <c r="L45" s="28" t="n"/>
      <c r="M45" s="28" t="n"/>
      <c r="N45" s="28" t="n"/>
    </row>
    <row r="46" ht="14.25" customHeight="1">
      <c r="B46" s="46" t="n"/>
      <c r="C46" s="46" t="n"/>
      <c r="D46" s="48" t="n"/>
      <c r="E46" s="46" t="n"/>
      <c r="F46" s="48" t="n"/>
      <c r="G46" s="48" t="n"/>
      <c r="H46" s="28" t="n"/>
      <c r="I46" s="28" t="n"/>
      <c r="J46" s="28" t="n"/>
      <c r="L46" s="28" t="n"/>
      <c r="M46" s="28" t="n"/>
      <c r="N46" s="28" t="n"/>
    </row>
    <row r="47" ht="14.25" customHeight="1">
      <c r="B47" s="46" t="n"/>
      <c r="C47" s="46" t="n"/>
      <c r="D47" s="48" t="n"/>
      <c r="E47" s="46" t="n"/>
      <c r="F47" s="48" t="n"/>
      <c r="G47" s="48" t="n"/>
      <c r="H47" s="28" t="n"/>
      <c r="I47" s="28" t="n"/>
      <c r="J47" s="28" t="n"/>
      <c r="L47" s="28" t="n"/>
      <c r="M47" s="28" t="n"/>
      <c r="N47" s="28" t="n"/>
    </row>
    <row r="48" ht="14.25" customHeight="1">
      <c r="B48" s="46" t="n"/>
      <c r="C48" s="46" t="n"/>
      <c r="D48" s="48" t="n"/>
      <c r="E48" s="46" t="n"/>
      <c r="F48" s="48" t="n"/>
      <c r="G48" s="48" t="n"/>
      <c r="H48" s="28" t="n"/>
      <c r="I48" s="28" t="n"/>
      <c r="J48" s="28" t="n"/>
      <c r="L48" s="28" t="n"/>
      <c r="M48" s="28" t="n"/>
      <c r="N48" s="28" t="n"/>
    </row>
    <row r="49" ht="14.25" customHeight="1">
      <c r="B49" s="46" t="n"/>
      <c r="C49" s="46" t="n"/>
      <c r="D49" s="48" t="n"/>
      <c r="E49" s="46" t="n"/>
      <c r="F49" s="48" t="n"/>
      <c r="G49" s="48" t="n"/>
      <c r="H49" s="28" t="n"/>
      <c r="I49" s="28" t="n"/>
      <c r="J49" s="28" t="n"/>
      <c r="L49" s="28" t="n"/>
      <c r="M49" s="28" t="n"/>
      <c r="N49" s="28" t="n"/>
    </row>
    <row r="50" ht="14.25" customHeight="1">
      <c r="B50" s="46" t="n"/>
      <c r="C50" s="46" t="n"/>
      <c r="D50" s="48" t="n"/>
      <c r="E50" s="46" t="n"/>
      <c r="F50" s="48" t="n"/>
      <c r="G50" s="48" t="n"/>
      <c r="H50" s="28" t="n"/>
      <c r="I50" s="28" t="n"/>
      <c r="J50" s="28" t="n"/>
      <c r="L50" s="28" t="n"/>
      <c r="M50" s="28" t="n"/>
      <c r="N50" s="28" t="n"/>
    </row>
    <row r="51" ht="14.25" customHeight="1">
      <c r="B51" s="46" t="n"/>
      <c r="C51" s="46" t="n"/>
      <c r="D51" s="48" t="n"/>
      <c r="E51" s="46" t="n"/>
      <c r="F51" s="48" t="n"/>
      <c r="G51" s="48" t="n"/>
      <c r="H51" s="28" t="n"/>
      <c r="I51" s="28" t="n"/>
      <c r="J51" s="28" t="n"/>
      <c r="L51" s="28" t="n"/>
      <c r="M51" s="28" t="n"/>
      <c r="N51" s="28" t="n"/>
    </row>
    <row r="52" ht="14.25" customHeight="1">
      <c r="B52" s="46" t="n"/>
      <c r="C52" s="46" t="n"/>
      <c r="D52" s="48" t="n"/>
      <c r="E52" s="46" t="n"/>
      <c r="F52" s="48" t="n"/>
      <c r="G52" s="48" t="n"/>
      <c r="H52" s="28" t="n"/>
      <c r="I52" s="28" t="n"/>
      <c r="J52" s="28" t="n"/>
      <c r="L52" s="28" t="n"/>
      <c r="M52" s="28" t="n"/>
      <c r="N52" s="28" t="n"/>
    </row>
    <row r="53" ht="14.25" customHeight="1">
      <c r="B53" s="46" t="n"/>
      <c r="C53" s="46" t="n"/>
      <c r="D53" s="48" t="n"/>
      <c r="E53" s="46" t="n"/>
      <c r="F53" s="48" t="n"/>
      <c r="G53" s="48" t="n"/>
      <c r="H53" s="28" t="n"/>
      <c r="I53" s="28" t="n"/>
      <c r="J53" s="28" t="n"/>
      <c r="L53" s="28" t="n"/>
      <c r="M53" s="28" t="n"/>
      <c r="N53" s="28" t="n"/>
    </row>
    <row r="54" ht="14.25" customHeight="1">
      <c r="B54" s="46" t="n"/>
      <c r="C54" s="46" t="n"/>
      <c r="D54" s="48" t="n"/>
      <c r="E54" s="46" t="n"/>
      <c r="F54" s="48" t="n"/>
      <c r="G54" s="48" t="n"/>
      <c r="H54" s="28" t="n"/>
      <c r="I54" s="28" t="n"/>
      <c r="J54" s="28" t="n"/>
      <c r="L54" s="28" t="n"/>
      <c r="M54" s="28" t="n"/>
      <c r="N54" s="28" t="n"/>
    </row>
    <row r="55" ht="14.25" customHeight="1">
      <c r="B55" s="46" t="n"/>
      <c r="C55" s="46" t="n"/>
      <c r="D55" s="48" t="n"/>
      <c r="E55" s="46" t="n"/>
      <c r="F55" s="48" t="n"/>
      <c r="G55" s="48" t="n"/>
      <c r="H55" s="28" t="n"/>
      <c r="I55" s="28" t="n"/>
      <c r="J55" s="28" t="n"/>
      <c r="L55" s="28" t="n"/>
      <c r="M55" s="28" t="n"/>
      <c r="N55" s="28" t="n"/>
    </row>
    <row r="56" ht="14.25" customHeight="1">
      <c r="B56" s="46" t="n"/>
      <c r="C56" s="46" t="n"/>
      <c r="D56" s="48" t="n"/>
      <c r="E56" s="46" t="n"/>
      <c r="F56" s="48" t="n"/>
      <c r="G56" s="48" t="n"/>
      <c r="H56" s="28" t="n"/>
      <c r="I56" s="28" t="n"/>
      <c r="J56" s="28" t="n"/>
      <c r="L56" s="28" t="n"/>
      <c r="M56" s="28" t="n"/>
      <c r="N56" s="28" t="n"/>
    </row>
    <row r="57" ht="14.25" customHeight="1">
      <c r="B57" s="46" t="n"/>
      <c r="C57" s="46" t="n"/>
      <c r="D57" s="48" t="n"/>
      <c r="E57" s="46" t="n"/>
      <c r="F57" s="48" t="n"/>
      <c r="G57" s="48" t="n"/>
      <c r="H57" s="28" t="n"/>
      <c r="I57" s="28" t="n"/>
      <c r="J57" s="28" t="n"/>
      <c r="L57" s="28" t="n"/>
      <c r="M57" s="28" t="n"/>
      <c r="N57" s="28" t="n"/>
    </row>
    <row r="58" ht="14.25" customHeight="1">
      <c r="B58" s="46" t="n"/>
      <c r="C58" s="46" t="n"/>
      <c r="D58" s="48" t="n"/>
      <c r="E58" s="46" t="n"/>
      <c r="F58" s="48" t="n"/>
      <c r="G58" s="48" t="n"/>
      <c r="H58" s="28" t="n"/>
      <c r="I58" s="28" t="n"/>
      <c r="J58" s="28" t="n"/>
      <c r="L58" s="28" t="n"/>
      <c r="M58" s="28" t="n"/>
      <c r="N58" s="28" t="n"/>
    </row>
    <row r="59" ht="14.25" customHeight="1">
      <c r="B59" s="46" t="n"/>
      <c r="C59" s="46" t="n"/>
      <c r="D59" s="48" t="n"/>
      <c r="E59" s="46" t="n"/>
      <c r="F59" s="48" t="n"/>
      <c r="G59" s="48" t="n"/>
      <c r="H59" s="28" t="n"/>
      <c r="I59" s="28" t="n"/>
      <c r="J59" s="28" t="n"/>
      <c r="L59" s="28" t="n"/>
      <c r="M59" s="28" t="n"/>
      <c r="N59" s="28" t="n"/>
    </row>
    <row r="60" ht="14.25" customHeight="1">
      <c r="B60" s="46" t="n"/>
      <c r="C60" s="46" t="n"/>
      <c r="D60" s="48" t="n"/>
      <c r="E60" s="46" t="n"/>
      <c r="F60" s="48" t="n"/>
      <c r="G60" s="48" t="n"/>
      <c r="H60" s="28" t="n"/>
      <c r="I60" s="28" t="n"/>
      <c r="J60" s="28" t="n"/>
      <c r="L60" s="28" t="n"/>
      <c r="M60" s="28" t="n"/>
      <c r="N60" s="28" t="n"/>
    </row>
    <row r="61">
      <c r="B61" s="46" t="n"/>
      <c r="C61" s="46" t="n"/>
      <c r="D61" s="48" t="n"/>
      <c r="E61" s="46" t="n"/>
      <c r="F61" s="48" t="n"/>
      <c r="G61" s="48" t="n"/>
      <c r="H61" s="28" t="n"/>
      <c r="I61" s="28" t="n"/>
      <c r="J61" s="28" t="n"/>
    </row>
    <row r="62">
      <c r="B62" s="46" t="n"/>
      <c r="C62" s="46" t="n"/>
      <c r="D62" s="48" t="n"/>
      <c r="E62" s="46" t="n"/>
      <c r="F62" s="48" t="n"/>
      <c r="G62" s="48" t="n"/>
      <c r="H62" s="28" t="n"/>
      <c r="I62" s="28" t="n"/>
      <c r="J62" s="28" t="n"/>
    </row>
    <row r="63">
      <c r="B63" s="46" t="n"/>
      <c r="C63" s="46" t="n"/>
      <c r="D63" s="48" t="n"/>
      <c r="E63" s="46" t="n"/>
      <c r="F63" s="48" t="n"/>
      <c r="G63" s="48" t="n"/>
      <c r="H63" s="28" t="n"/>
      <c r="I63" s="28" t="n"/>
      <c r="J63" s="28" t="n"/>
    </row>
    <row r="64">
      <c r="B64" s="46" t="n"/>
      <c r="C64" s="46" t="n"/>
      <c r="D64" s="48" t="n"/>
      <c r="E64" s="46" t="n"/>
      <c r="F64" s="48" t="n"/>
      <c r="G64" s="48" t="n"/>
      <c r="H64" s="28" t="n"/>
      <c r="I64" s="28" t="n"/>
      <c r="J64" s="28" t="n"/>
    </row>
    <row r="65">
      <c r="B65" s="46" t="n"/>
      <c r="C65" s="46" t="n"/>
      <c r="D65" s="48" t="n"/>
      <c r="E65" s="46" t="n"/>
      <c r="F65" s="48" t="n"/>
      <c r="G65" s="48" t="n"/>
      <c r="H65" s="28" t="n"/>
      <c r="I65" s="28" t="n"/>
      <c r="J65" s="28" t="n"/>
    </row>
    <row r="66">
      <c r="B66" s="46" t="n"/>
      <c r="C66" s="46" t="n"/>
      <c r="D66" s="48" t="n"/>
      <c r="E66" s="46" t="n"/>
      <c r="F66" s="48" t="n"/>
      <c r="G66" s="48" t="n"/>
      <c r="H66" s="28" t="n"/>
      <c r="I66" s="28" t="n"/>
      <c r="J66" s="28" t="n"/>
    </row>
    <row r="67">
      <c r="B67" s="46" t="n"/>
      <c r="C67" s="46" t="n"/>
      <c r="D67" s="48" t="n"/>
      <c r="E67" s="46" t="n"/>
      <c r="F67" s="48" t="n"/>
      <c r="G67" s="48" t="n"/>
      <c r="H67" s="28" t="n"/>
      <c r="I67" s="28" t="n"/>
      <c r="J67" s="28" t="n"/>
    </row>
    <row r="68">
      <c r="B68" s="46" t="n"/>
      <c r="C68" s="46" t="n"/>
      <c r="D68" s="48" t="n"/>
      <c r="E68" s="46" t="n"/>
      <c r="F68" s="48" t="n"/>
      <c r="G68" s="48" t="n"/>
      <c r="H68" s="28" t="n"/>
      <c r="I68" s="28" t="n"/>
      <c r="J68" s="28" t="n"/>
    </row>
    <row r="69">
      <c r="B69" s="46" t="n"/>
      <c r="C69" s="46" t="n"/>
      <c r="D69" s="48" t="n"/>
      <c r="E69" s="46" t="n"/>
      <c r="F69" s="48" t="n"/>
      <c r="G69" s="48" t="n"/>
      <c r="H69" s="28" t="n"/>
      <c r="I69" s="28" t="n"/>
      <c r="J69" s="28" t="n"/>
    </row>
    <row r="70">
      <c r="B70" s="46" t="n"/>
      <c r="C70" s="46" t="n"/>
      <c r="D70" s="48" t="n"/>
      <c r="E70" s="46" t="n"/>
      <c r="F70" s="48" t="n"/>
      <c r="G70" s="48" t="n"/>
      <c r="H70" s="28" t="n"/>
      <c r="I70" s="28" t="n"/>
      <c r="J70" s="28" t="n"/>
    </row>
    <row r="71">
      <c r="B71" s="46" t="n"/>
      <c r="C71" s="46" t="n"/>
      <c r="D71" s="48" t="n"/>
      <c r="E71" s="46" t="n"/>
      <c r="F71" s="48" t="n"/>
      <c r="G71" s="48" t="n"/>
      <c r="H71" s="28" t="n"/>
      <c r="I71" s="28" t="n"/>
      <c r="J71" s="28" t="n"/>
    </row>
    <row r="72">
      <c r="B72" s="46" t="n"/>
      <c r="C72" s="46" t="n"/>
      <c r="D72" s="48" t="n"/>
      <c r="E72" s="46" t="n"/>
      <c r="F72" s="48" t="n"/>
      <c r="G72" s="48" t="n"/>
      <c r="H72" s="28" t="n"/>
      <c r="I72" s="28" t="n"/>
      <c r="J72" s="28" t="n"/>
    </row>
    <row r="73">
      <c r="B73" s="46" t="n"/>
      <c r="C73" s="46" t="n"/>
      <c r="D73" s="48" t="n"/>
      <c r="E73" s="46" t="n"/>
      <c r="F73" s="48" t="n"/>
      <c r="G73" s="48" t="n"/>
      <c r="H73" s="28" t="n"/>
      <c r="I73" s="28" t="n"/>
      <c r="J73" s="28" t="n"/>
    </row>
    <row r="74">
      <c r="B74" s="46" t="n"/>
      <c r="C74" s="46" t="n"/>
      <c r="D74" s="48" t="n"/>
      <c r="E74" s="46" t="n"/>
      <c r="F74" s="48" t="n"/>
      <c r="G74" s="48" t="n"/>
      <c r="H74" s="28" t="n"/>
      <c r="I74" s="28" t="n"/>
      <c r="J74" s="28" t="n"/>
    </row>
    <row r="75">
      <c r="B75" s="46" t="n"/>
      <c r="C75" s="46" t="n"/>
      <c r="D75" s="48" t="n"/>
      <c r="E75" s="46" t="n"/>
      <c r="F75" s="48" t="n"/>
      <c r="G75" s="48" t="n"/>
      <c r="H75" s="28" t="n"/>
      <c r="I75" s="28" t="n"/>
      <c r="J75" s="28" t="n"/>
    </row>
    <row r="76">
      <c r="B76" s="46" t="n"/>
      <c r="C76" s="46" t="n"/>
      <c r="D76" s="48" t="n"/>
      <c r="E76" s="46" t="n"/>
      <c r="F76" s="48" t="n"/>
      <c r="G76" s="48" t="n"/>
      <c r="H76" s="28" t="n"/>
      <c r="I76" s="28" t="n"/>
      <c r="J76" s="28" t="n"/>
    </row>
    <row r="77">
      <c r="B77" s="46" t="n"/>
      <c r="C77" s="46" t="n"/>
      <c r="D77" s="48" t="n"/>
      <c r="E77" s="46" t="n"/>
      <c r="F77" s="48" t="n"/>
      <c r="G77" s="48" t="n"/>
      <c r="H77" s="28" t="n"/>
      <c r="I77" s="28" t="n"/>
      <c r="J77" s="28" t="n"/>
    </row>
    <row r="78">
      <c r="B78" s="46" t="n"/>
      <c r="C78" s="46" t="n"/>
      <c r="D78" s="48" t="n"/>
      <c r="E78" s="46" t="n"/>
      <c r="F78" s="48" t="n"/>
      <c r="G78" s="48" t="n"/>
      <c r="H78" s="28" t="n"/>
      <c r="I78" s="28" t="n"/>
      <c r="J78" s="28" t="n"/>
    </row>
    <row r="79">
      <c r="B79" s="46" t="n"/>
      <c r="C79" s="46" t="n"/>
      <c r="D79" s="48" t="n"/>
      <c r="E79" s="46" t="n"/>
      <c r="F79" s="48" t="n"/>
      <c r="G79" s="48" t="n"/>
      <c r="H79" s="28" t="n"/>
      <c r="I79" s="28" t="n"/>
      <c r="J79" s="28" t="n"/>
    </row>
    <row r="80">
      <c r="B80" s="46" t="n"/>
      <c r="C80" s="46" t="n"/>
      <c r="D80" s="48" t="n"/>
      <c r="E80" s="46" t="n"/>
      <c r="F80" s="48" t="n"/>
      <c r="G80" s="48" t="n"/>
      <c r="H80" s="28" t="n"/>
      <c r="I80" s="28" t="n"/>
      <c r="J80" s="28" t="n"/>
    </row>
    <row r="81">
      <c r="B81" s="46" t="n"/>
      <c r="C81" s="46" t="n"/>
      <c r="D81" s="48" t="n"/>
      <c r="E81" s="46" t="n"/>
      <c r="F81" s="48" t="n"/>
      <c r="G81" s="48" t="n"/>
      <c r="H81" s="28" t="n"/>
      <c r="I81" s="28" t="n"/>
      <c r="J81" s="28" t="n"/>
    </row>
    <row r="82">
      <c r="B82" s="46" t="n"/>
      <c r="C82" s="46" t="n"/>
      <c r="D82" s="48" t="n"/>
      <c r="E82" s="46" t="n"/>
      <c r="F82" s="48" t="n"/>
      <c r="G82" s="48" t="n"/>
      <c r="H82" s="28" t="n"/>
      <c r="I82" s="28" t="n"/>
      <c r="J82" s="28" t="n"/>
    </row>
    <row r="83">
      <c r="B83" s="46" t="n"/>
      <c r="C83" s="46" t="n"/>
      <c r="D83" s="48" t="n"/>
      <c r="E83" s="46" t="n"/>
      <c r="F83" s="48" t="n"/>
      <c r="G83" s="48" t="n"/>
      <c r="H83" s="28" t="n"/>
      <c r="I83" s="28" t="n"/>
      <c r="J83" s="28" t="n"/>
    </row>
    <row r="84">
      <c r="B84" s="46" t="n"/>
      <c r="C84" s="46" t="n"/>
      <c r="D84" s="48" t="n"/>
      <c r="E84" s="46" t="n"/>
      <c r="F84" s="48" t="n"/>
      <c r="G84" s="48" t="n"/>
      <c r="H84" s="28" t="n"/>
      <c r="I84" s="28" t="n"/>
      <c r="J84" s="28" t="n"/>
    </row>
    <row r="85">
      <c r="B85" s="46" t="n"/>
      <c r="C85" s="46" t="n"/>
      <c r="D85" s="48" t="n"/>
      <c r="E85" s="46" t="n"/>
      <c r="F85" s="48" t="n"/>
      <c r="G85" s="48" t="n"/>
      <c r="H85" s="28" t="n"/>
      <c r="I85" s="28" t="n"/>
      <c r="J85" s="28" t="n"/>
    </row>
    <row r="86">
      <c r="B86" s="46" t="n"/>
      <c r="C86" s="46" t="n"/>
      <c r="D86" s="48" t="n"/>
      <c r="E86" s="46" t="n"/>
      <c r="F86" s="48" t="n"/>
      <c r="G86" s="48" t="n"/>
      <c r="H86" s="28" t="n"/>
      <c r="I86" s="28" t="n"/>
      <c r="J86" s="28" t="n"/>
    </row>
    <row r="87">
      <c r="B87" s="46" t="n"/>
      <c r="C87" s="46" t="n"/>
      <c r="D87" s="48" t="n"/>
      <c r="E87" s="46" t="n"/>
      <c r="F87" s="48" t="n"/>
      <c r="G87" s="48" t="n"/>
      <c r="H87" s="28" t="n"/>
      <c r="I87" s="28" t="n"/>
      <c r="J87" s="28" t="n"/>
    </row>
    <row r="88">
      <c r="B88" s="46" t="n"/>
      <c r="C88" s="46" t="n"/>
      <c r="D88" s="48" t="n"/>
      <c r="E88" s="46" t="n"/>
      <c r="F88" s="48" t="n"/>
      <c r="G88" s="48" t="n"/>
      <c r="H88" s="28" t="n"/>
      <c r="I88" s="28" t="n"/>
      <c r="J88" s="28" t="n"/>
    </row>
    <row r="89">
      <c r="B89" s="46" t="n"/>
      <c r="C89" s="46" t="n"/>
      <c r="D89" s="48" t="n"/>
      <c r="E89" s="46" t="n"/>
      <c r="F89" s="48" t="n"/>
      <c r="G89" s="48" t="n"/>
      <c r="H89" s="28" t="n"/>
      <c r="I89" s="28" t="n"/>
      <c r="J89" s="28" t="n"/>
    </row>
    <row r="90">
      <c r="B90" s="46" t="n"/>
      <c r="C90" s="46" t="n"/>
      <c r="D90" s="48" t="n"/>
      <c r="E90" s="46" t="n"/>
      <c r="F90" s="48" t="n"/>
      <c r="G90" s="48" t="n"/>
      <c r="H90" s="28" t="n"/>
      <c r="I90" s="28" t="n"/>
      <c r="J90" s="28" t="n"/>
    </row>
    <row r="91">
      <c r="B91" s="46" t="n"/>
      <c r="C91" s="46" t="n"/>
      <c r="D91" s="48" t="n"/>
      <c r="E91" s="46" t="n"/>
      <c r="F91" s="48" t="n"/>
      <c r="G91" s="48" t="n"/>
      <c r="H91" s="28" t="n"/>
      <c r="I91" s="28" t="n"/>
      <c r="J91" s="28" t="n"/>
    </row>
    <row r="92">
      <c r="B92" s="46" t="n"/>
      <c r="C92" s="46" t="n"/>
      <c r="D92" s="48" t="n"/>
      <c r="E92" s="46" t="n"/>
      <c r="F92" s="48" t="n"/>
      <c r="G92" s="48" t="n"/>
      <c r="H92" s="28" t="n"/>
      <c r="I92" s="28" t="n"/>
      <c r="J92" s="28" t="n"/>
    </row>
    <row r="93">
      <c r="B93" s="46" t="n"/>
      <c r="C93" s="46" t="n"/>
      <c r="D93" s="48" t="n"/>
      <c r="E93" s="46" t="n"/>
      <c r="F93" s="48" t="n"/>
      <c r="G93" s="48" t="n"/>
      <c r="H93" s="28" t="n"/>
      <c r="I93" s="28" t="n"/>
      <c r="J93" s="28" t="n"/>
    </row>
    <row r="94">
      <c r="B94" s="46" t="n"/>
      <c r="C94" s="46" t="n"/>
      <c r="D94" s="48" t="n"/>
      <c r="E94" s="46" t="n"/>
      <c r="F94" s="48" t="n"/>
      <c r="G94" s="48" t="n"/>
      <c r="H94" s="28" t="n"/>
      <c r="I94" s="28" t="n"/>
      <c r="J94" s="28" t="n"/>
    </row>
    <row r="95">
      <c r="B95" s="46" t="n"/>
      <c r="C95" s="46" t="n"/>
      <c r="D95" s="48" t="n"/>
      <c r="E95" s="46" t="n"/>
      <c r="F95" s="48" t="n"/>
      <c r="G95" s="48" t="n"/>
      <c r="H95" s="28" t="n"/>
      <c r="I95" s="28" t="n"/>
      <c r="J95" s="28" t="n"/>
    </row>
    <row r="96">
      <c r="B96" s="46" t="n"/>
      <c r="C96" s="46" t="n"/>
      <c r="D96" s="48" t="n"/>
      <c r="E96" s="46" t="n"/>
      <c r="F96" s="48" t="n"/>
      <c r="G96" s="48" t="n"/>
      <c r="H96" s="28" t="n"/>
      <c r="I96" s="28" t="n"/>
      <c r="J96" s="28" t="n"/>
    </row>
    <row r="97">
      <c r="B97" s="46" t="n"/>
      <c r="C97" s="46" t="n"/>
      <c r="D97" s="48" t="n"/>
      <c r="E97" s="46" t="n"/>
      <c r="F97" s="48" t="n"/>
      <c r="G97" s="48" t="n"/>
      <c r="H97" s="28" t="n"/>
      <c r="I97" s="28" t="n"/>
      <c r="J97" s="28" t="n"/>
    </row>
    <row r="98">
      <c r="B98" s="46" t="n"/>
      <c r="C98" s="46" t="n"/>
      <c r="D98" s="48" t="n"/>
      <c r="E98" s="46" t="n"/>
      <c r="F98" s="48" t="n"/>
      <c r="G98" s="48" t="n"/>
      <c r="H98" s="28" t="n"/>
      <c r="I98" s="28" t="n"/>
      <c r="J98" s="28" t="n"/>
    </row>
    <row r="99">
      <c r="B99" s="46" t="n"/>
      <c r="C99" s="46" t="n"/>
      <c r="D99" s="48" t="n"/>
      <c r="E99" s="46" t="n"/>
      <c r="F99" s="48" t="n"/>
      <c r="G99" s="48" t="n"/>
      <c r="H99" s="28" t="n"/>
      <c r="I99" s="28" t="n"/>
      <c r="J99" s="28" t="n"/>
    </row>
    <row r="100">
      <c r="B100" s="46" t="n"/>
      <c r="C100" s="46" t="n"/>
      <c r="D100" s="48" t="n"/>
      <c r="E100" s="46" t="n"/>
      <c r="F100" s="48" t="n"/>
      <c r="G100" s="48" t="n"/>
      <c r="H100" s="28" t="n"/>
      <c r="I100" s="28" t="n"/>
      <c r="J100" s="28" t="n"/>
    </row>
    <row r="101">
      <c r="B101" s="46" t="n"/>
      <c r="C101" s="46" t="n"/>
      <c r="D101" s="48" t="n"/>
      <c r="E101" s="46" t="n"/>
      <c r="F101" s="48" t="n"/>
      <c r="G101" s="48" t="n"/>
      <c r="H101" s="28" t="n"/>
      <c r="I101" s="28" t="n"/>
      <c r="J101" s="28" t="n"/>
    </row>
    <row r="102">
      <c r="B102" s="46" t="n"/>
      <c r="C102" s="46" t="n"/>
      <c r="D102" s="48" t="n"/>
      <c r="E102" s="46" t="n"/>
      <c r="F102" s="48" t="n"/>
      <c r="G102" s="48" t="n"/>
      <c r="H102" s="28" t="n"/>
      <c r="I102" s="28" t="n"/>
      <c r="J102" s="28" t="n"/>
    </row>
    <row r="103">
      <c r="B103" s="46" t="n"/>
      <c r="C103" s="46" t="n"/>
      <c r="D103" s="48" t="n"/>
      <c r="E103" s="46" t="n"/>
      <c r="F103" s="48" t="n"/>
      <c r="G103" s="48" t="n"/>
      <c r="H103" s="28" t="n"/>
      <c r="I103" s="28" t="n"/>
      <c r="J103" s="28" t="n"/>
    </row>
    <row r="104">
      <c r="B104" s="46" t="n"/>
      <c r="C104" s="46" t="n"/>
      <c r="D104" s="48" t="n"/>
      <c r="E104" s="46" t="n"/>
      <c r="F104" s="48" t="n"/>
      <c r="G104" s="48" t="n"/>
      <c r="H104" s="28" t="n"/>
      <c r="I104" s="28" t="n"/>
      <c r="J104" s="28" t="n"/>
    </row>
    <row r="105">
      <c r="B105" s="46" t="n"/>
      <c r="C105" s="46" t="n"/>
      <c r="D105" s="48" t="n"/>
      <c r="E105" s="46" t="n"/>
      <c r="F105" s="48" t="n"/>
      <c r="G105" s="48" t="n"/>
      <c r="H105" s="28" t="n"/>
      <c r="I105" s="28" t="n"/>
      <c r="J105" s="28" t="n"/>
    </row>
    <row r="106">
      <c r="B106" s="46" t="n"/>
      <c r="C106" s="46" t="n"/>
      <c r="D106" s="48" t="n"/>
      <c r="E106" s="46" t="n"/>
      <c r="F106" s="48" t="n"/>
      <c r="G106" s="48" t="n"/>
      <c r="H106" s="28" t="n"/>
      <c r="I106" s="28" t="n"/>
      <c r="J106" s="28" t="n"/>
    </row>
    <row r="107">
      <c r="B107" s="46" t="n"/>
      <c r="C107" s="46" t="n"/>
      <c r="D107" s="48" t="n"/>
      <c r="E107" s="46" t="n"/>
      <c r="F107" s="48" t="n"/>
      <c r="G107" s="48" t="n"/>
      <c r="H107" s="28" t="n"/>
      <c r="I107" s="28" t="n"/>
      <c r="J107" s="28" t="n"/>
    </row>
    <row r="108">
      <c r="B108" s="46" t="n"/>
      <c r="C108" s="46" t="n"/>
      <c r="D108" s="48" t="n"/>
      <c r="E108" s="46" t="n"/>
      <c r="F108" s="48" t="n"/>
      <c r="G108" s="48" t="n"/>
      <c r="H108" s="28" t="n"/>
      <c r="I108" s="28" t="n"/>
      <c r="J108" s="28" t="n"/>
    </row>
    <row r="109">
      <c r="B109" s="46" t="n"/>
      <c r="C109" s="46" t="n"/>
      <c r="D109" s="48" t="n"/>
      <c r="E109" s="46" t="n"/>
      <c r="F109" s="48" t="n"/>
      <c r="G109" s="48" t="n"/>
      <c r="H109" s="28" t="n"/>
      <c r="I109" s="28" t="n"/>
      <c r="J109" s="28" t="n"/>
    </row>
  </sheetData>
  <mergeCells count="13">
    <mergeCell ref="I6:I7"/>
    <mergeCell ref="H6:H7"/>
    <mergeCell ref="L6:L7"/>
    <mergeCell ref="J6:J7"/>
    <mergeCell ref="M6:M7"/>
    <mergeCell ref="K6:K7"/>
    <mergeCell ref="E6:E7"/>
    <mergeCell ref="A6:A7"/>
    <mergeCell ref="C6:C7"/>
    <mergeCell ref="D6:D7"/>
    <mergeCell ref="B6:B7"/>
    <mergeCell ref="F6:F7"/>
    <mergeCell ref="G6:G7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C2:U82"/>
  <sheetViews>
    <sheetView tabSelected="1" topLeftCell="A30" zoomScale="80" zoomScaleNormal="80" zoomScalePageLayoutView="85" workbookViewId="0">
      <selection activeCell="U71" sqref="U71"/>
    </sheetView>
  </sheetViews>
  <sheetFormatPr baseColWidth="10" defaultColWidth="11.42578125" defaultRowHeight="14.25"/>
  <cols>
    <col width="3.28515625" customWidth="1" style="1" min="1" max="2"/>
    <col width="17.28515625" customWidth="1" style="1" min="3" max="3"/>
    <col width="13.7109375" customWidth="1" style="1" min="4" max="4"/>
    <col width="15.7109375" customWidth="1" style="1" min="5" max="11"/>
    <col width="5.7109375" customWidth="1" style="1" min="12" max="12"/>
    <col width="11.42578125" customWidth="1" style="1" min="13" max="16384"/>
  </cols>
  <sheetData>
    <row r="2" ht="24.75" customHeight="1">
      <c r="G2" s="105">
        <f>DATOS!A1</f>
        <v/>
      </c>
    </row>
    <row r="3" ht="24.75" customHeight="1">
      <c r="G3" s="104">
        <f>DATOS!A2</f>
        <v/>
      </c>
    </row>
    <row r="4" ht="24.75" customHeight="1">
      <c r="G4" s="104">
        <f>DATOS!A3</f>
        <v/>
      </c>
    </row>
    <row r="5" ht="40.5" customHeight="1"/>
    <row r="7" ht="15" customHeight="1">
      <c r="D7" s="1" t="inlineStr">
        <is>
          <t>Nº de VIVIENDAS:</t>
        </is>
      </c>
      <c r="G7" s="202">
        <f>DATOS!$D$4</f>
        <v/>
      </c>
    </row>
    <row r="8" ht="15" customHeight="1">
      <c r="D8" s="51" t="n"/>
      <c r="G8" s="226" t="inlineStr">
        <is>
          <t>ACS</t>
        </is>
      </c>
      <c r="H8" s="227" t="n"/>
    </row>
    <row r="9">
      <c r="D9" s="1" t="inlineStr">
        <is>
          <t>PERIODO ACS:</t>
        </is>
      </c>
      <c r="G9" s="212">
        <f>'LECTURAS ACS M3'!P6</f>
        <v/>
      </c>
      <c r="H9" s="228" t="n"/>
      <c r="I9" s="181">
        <f>'LECTURAS ACS M3'!P7</f>
        <v/>
      </c>
      <c r="J9" s="106" t="inlineStr">
        <is>
          <t>días</t>
        </is>
      </c>
    </row>
    <row r="10" ht="16.5" customHeight="1">
      <c r="D10" s="1" t="inlineStr">
        <is>
          <t>m3 CONSUMIDOS:</t>
        </is>
      </c>
      <c r="G10" s="80">
        <f>'LECTURAS ACS M3'!G27</f>
        <v/>
      </c>
      <c r="H10" s="81" t="inlineStr">
        <is>
          <t>m3</t>
        </is>
      </c>
      <c r="I10" s="2" t="n"/>
    </row>
    <row r="11">
      <c r="D11" s="1" t="inlineStr">
        <is>
          <t>CUOTA FIJA MES ACS (€/mes):</t>
        </is>
      </c>
      <c r="G11" s="82">
        <f>'LECTURAS ACS M3'!M27</f>
        <v/>
      </c>
      <c r="H11" s="81" t="inlineStr">
        <is>
          <t>/mes</t>
        </is>
      </c>
      <c r="I11" s="182" t="inlineStr">
        <is>
          <t xml:space="preserve">  8,00 / 6,00</t>
        </is>
      </c>
      <c r="J11" s="67" t="n"/>
    </row>
    <row r="12" ht="16.5" customHeight="1">
      <c r="D12" s="1" t="inlineStr">
        <is>
          <t>PRECIO M3 (€/m3):</t>
        </is>
      </c>
      <c r="G12" s="82">
        <f>'LECTURAS ACS M3'!L27</f>
        <v/>
      </c>
      <c r="H12" s="81" t="inlineStr">
        <is>
          <t>/m3</t>
        </is>
      </c>
      <c r="I12" s="182" t="inlineStr">
        <is>
          <t>9,00 / 14,00</t>
        </is>
      </c>
      <c r="J12" s="67" t="n"/>
    </row>
    <row r="13">
      <c r="G13" s="29" t="n"/>
    </row>
    <row r="14">
      <c r="G14" s="29" t="n"/>
    </row>
    <row r="15" ht="32.25" customFormat="1" customHeight="1" s="8">
      <c r="G15" s="203" t="inlineStr">
        <is>
          <t>GASTOS EN EL PERIODO:</t>
        </is>
      </c>
      <c r="J15" s="203" t="inlineStr">
        <is>
          <t>INGRESOS EN EL PERIODO:</t>
        </is>
      </c>
      <c r="K15" s="203" t="inlineStr">
        <is>
          <t>DIFERENCIA:</t>
        </is>
      </c>
    </row>
    <row r="16">
      <c r="D16" s="1" t="inlineStr">
        <is>
          <t>COMBUSTIBLE</t>
        </is>
      </c>
      <c r="G16" s="64">
        <f>H16/H$23</f>
        <v/>
      </c>
      <c r="H16" s="86">
        <f>GAS!M31</f>
        <v/>
      </c>
    </row>
    <row r="17">
      <c r="D17" s="1" t="inlineStr">
        <is>
          <t>ELECTRICIDAD</t>
        </is>
      </c>
      <c r="G17" s="64">
        <f>H17/H$23</f>
        <v/>
      </c>
      <c r="H17" s="86">
        <f>ELECTRICIDAD!H46</f>
        <v/>
      </c>
    </row>
    <row r="18">
      <c r="D18" s="1" t="inlineStr">
        <is>
          <t>MTO. PREVENTIVO</t>
        </is>
      </c>
      <c r="G18" s="64">
        <f>H18/H$23</f>
        <v/>
      </c>
      <c r="H18" s="86">
        <f>'OTROS GASTOS'!C9</f>
        <v/>
      </c>
    </row>
    <row r="19">
      <c r="D19" s="44" t="inlineStr">
        <is>
          <t>LECTURA CONTADORES ACS</t>
        </is>
      </c>
      <c r="G19" s="64">
        <f>H19/H$23</f>
        <v/>
      </c>
      <c r="H19" s="86">
        <f>'OTROS GASTOS'!C6</f>
        <v/>
      </c>
    </row>
    <row r="20">
      <c r="D20" s="1" t="inlineStr">
        <is>
          <t>CONSUMO AGUA FRIA</t>
        </is>
      </c>
      <c r="G20" s="64">
        <f>H20/H$23</f>
        <v/>
      </c>
      <c r="H20" s="86">
        <f>AGUA!T23</f>
        <v/>
      </c>
    </row>
    <row r="21" ht="14.25" customHeight="1">
      <c r="D21" s="1" t="inlineStr">
        <is>
          <t>FIJO AGUA FRIA</t>
        </is>
      </c>
      <c r="G21" s="64">
        <f>H21/H$23</f>
        <v/>
      </c>
      <c r="H21" s="86">
        <f>AGUA!U23</f>
        <v/>
      </c>
    </row>
    <row r="22" ht="14.25" customHeight="1">
      <c r="D22" s="21" t="inlineStr">
        <is>
          <t>MTO. CORRECTIVO (REPARACIONES)</t>
        </is>
      </c>
      <c r="E22" s="21" t="n"/>
      <c r="F22" s="21" t="n"/>
      <c r="G22" s="65">
        <f>H22/H$23</f>
        <v/>
      </c>
      <c r="H22" s="87">
        <f>'OTROS GASTOS'!H27</f>
        <v/>
      </c>
      <c r="I22" s="77" t="inlineStr">
        <is>
          <t>(3)</t>
        </is>
      </c>
      <c r="J22" s="31" t="n"/>
      <c r="K22" s="31" t="n"/>
    </row>
    <row r="23" ht="15" customHeight="1">
      <c r="D23" s="84" t="n"/>
      <c r="E23" s="84" t="n"/>
      <c r="F23" s="84" t="inlineStr">
        <is>
          <t>TOTAL …</t>
        </is>
      </c>
      <c r="G23" s="85">
        <f>H23/H$23</f>
        <v/>
      </c>
      <c r="H23" s="89">
        <f>SUM(H16:H22)</f>
        <v/>
      </c>
      <c r="J23" s="89">
        <f>G66</f>
        <v/>
      </c>
      <c r="K23" s="88">
        <f>J23-H23</f>
        <v/>
      </c>
    </row>
    <row r="26" ht="15" customHeight="1">
      <c r="D26" s="91" t="inlineStr">
        <is>
          <t>% REPARTO DEL COSTE TOTAL ENTRE SERVICIOS</t>
        </is>
      </c>
      <c r="E26" s="92" t="n"/>
      <c r="F26" s="92" t="n"/>
      <c r="G26" s="92" t="n"/>
      <c r="H26" s="93" t="inlineStr">
        <is>
          <t>ACS</t>
        </is>
      </c>
      <c r="O26" s="52" t="n"/>
      <c r="P26" s="53" t="n"/>
      <c r="Q26" s="53" t="n"/>
      <c r="R26" s="53" t="inlineStr">
        <is>
          <t>CTE documento HE1</t>
        </is>
      </c>
      <c r="S26" s="54" t="n"/>
    </row>
    <row r="27" ht="16.5" customHeight="1">
      <c r="D27" s="55" t="inlineStr">
        <is>
          <t>COMBUSTIBLE</t>
        </is>
      </c>
      <c r="H27" s="60">
        <f>GAS!W31</f>
        <v/>
      </c>
      <c r="I27" s="77" t="inlineStr">
        <is>
          <t>(1)</t>
        </is>
      </c>
      <c r="O27" s="55" t="n"/>
      <c r="R27" s="1" t="inlineStr">
        <is>
          <t>Zona climática D3</t>
        </is>
      </c>
      <c r="S27" s="56" t="n"/>
    </row>
    <row r="28" ht="14.25" customHeight="1">
      <c r="D28" s="55" t="inlineStr">
        <is>
          <t>ELECTRICIDAD</t>
        </is>
      </c>
      <c r="H28" s="60">
        <f>ELECTRICIDAD!P46</f>
        <v/>
      </c>
      <c r="I28" s="77" t="inlineStr">
        <is>
          <t>(1)</t>
        </is>
      </c>
      <c r="O28" s="55" t="n"/>
      <c r="R28" s="1" t="inlineStr">
        <is>
          <t>Viviendas &lt;= 100 m2</t>
        </is>
      </c>
      <c r="S28" s="56" t="n"/>
    </row>
    <row r="29">
      <c r="D29" s="55" t="inlineStr">
        <is>
          <t>MTO. PREVENTIVO</t>
        </is>
      </c>
      <c r="H29" s="60" t="n">
        <v>0.5</v>
      </c>
      <c r="O29" s="55" t="n"/>
      <c r="R29" s="2" t="inlineStr">
        <is>
          <t>% CALEF.</t>
        </is>
      </c>
      <c r="S29" s="57" t="inlineStr">
        <is>
          <t>% ACS</t>
        </is>
      </c>
    </row>
    <row r="30">
      <c r="D30" s="55" t="inlineStr">
        <is>
          <t>LECTURA CONTADORES ACS</t>
        </is>
      </c>
      <c r="H30" s="60" t="n">
        <v>1</v>
      </c>
      <c r="O30" s="58" t="inlineStr">
        <is>
          <t>- Sin energía solar térmica:</t>
        </is>
      </c>
      <c r="R30" s="59" t="n">
        <v>0.55</v>
      </c>
      <c r="S30" s="60" t="n">
        <v>0.45</v>
      </c>
    </row>
    <row r="31">
      <c r="D31" s="55" t="inlineStr">
        <is>
          <t>CONSUMO AGUA FRIA</t>
        </is>
      </c>
      <c r="H31" s="60" t="n">
        <v>1</v>
      </c>
      <c r="O31" s="61" t="inlineStr">
        <is>
          <t>- Con energía solar térmica:</t>
        </is>
      </c>
      <c r="P31" s="21" t="n"/>
      <c r="Q31" s="21" t="n"/>
      <c r="R31" s="62" t="n">
        <v>0.65</v>
      </c>
      <c r="S31" s="63" t="n">
        <v>0.35</v>
      </c>
    </row>
    <row r="32">
      <c r="D32" s="55" t="inlineStr">
        <is>
          <t>FIJO AGUA FRIA</t>
        </is>
      </c>
      <c r="H32" s="60" t="n">
        <v>1</v>
      </c>
    </row>
    <row r="33">
      <c r="D33" s="90" t="inlineStr">
        <is>
          <t>MTO. CORRECTIVO (REPARACIONES)</t>
        </is>
      </c>
      <c r="E33" s="21" t="n"/>
      <c r="F33" s="21" t="n"/>
      <c r="G33" s="21" t="n"/>
      <c r="H33" s="63" t="n">
        <v>1</v>
      </c>
    </row>
    <row r="36" ht="15" customHeight="1">
      <c r="D36" s="229" t="inlineStr">
        <is>
          <t>% REPARTO DE COSTES POR SERVICIOS</t>
        </is>
      </c>
      <c r="E36" s="228" t="n"/>
      <c r="F36" s="230" t="n"/>
      <c r="G36" s="100" t="n"/>
      <c r="H36" s="101" t="inlineStr">
        <is>
          <t>ACS</t>
        </is>
      </c>
      <c r="I36" s="102" t="n"/>
    </row>
    <row r="37" ht="15" customHeight="1">
      <c r="D37" s="131" t="inlineStr">
        <is>
          <t>(COSTE FIJO Y VARIABLE)</t>
        </is>
      </c>
      <c r="E37" s="231" t="n"/>
      <c r="F37" s="232" t="n"/>
      <c r="G37" s="94" t="inlineStr">
        <is>
          <t>% FIJO</t>
        </is>
      </c>
      <c r="H37" s="95" t="inlineStr">
        <is>
          <t>% VAR</t>
        </is>
      </c>
      <c r="I37" s="103" t="inlineStr">
        <is>
          <t>% sobre C. TOTAL</t>
        </is>
      </c>
    </row>
    <row r="38" ht="16.5" customHeight="1">
      <c r="D38" s="52" t="inlineStr">
        <is>
          <t>COMBUSTIBLE</t>
        </is>
      </c>
      <c r="E38" s="53" t="n"/>
      <c r="F38" s="53" t="n"/>
      <c r="G38" s="97">
        <f>GAS!Y31</f>
        <v/>
      </c>
      <c r="H38" s="96">
        <f>GAS!Z31</f>
        <v/>
      </c>
      <c r="I38" s="98">
        <f>H27</f>
        <v/>
      </c>
      <c r="J38" s="77" t="inlineStr">
        <is>
          <t>(2)</t>
        </is>
      </c>
    </row>
    <row r="39" ht="16.5" customHeight="1">
      <c r="D39" s="55" t="inlineStr">
        <is>
          <t>ELECTRICIDAD</t>
        </is>
      </c>
      <c r="G39" s="68">
        <f>ELECTRICIDAD!R46</f>
        <v/>
      </c>
      <c r="H39" s="69">
        <f>ELECTRICIDAD!S46</f>
        <v/>
      </c>
      <c r="I39" s="60">
        <f>H28</f>
        <v/>
      </c>
      <c r="J39" s="77" t="inlineStr">
        <is>
          <t>(2)</t>
        </is>
      </c>
    </row>
    <row r="40">
      <c r="D40" s="55" t="inlineStr">
        <is>
          <t>MTO. PREVENTIVO</t>
        </is>
      </c>
      <c r="G40" s="70" t="n">
        <v>1</v>
      </c>
      <c r="H40" s="59" t="n">
        <v>0</v>
      </c>
      <c r="I40" s="60">
        <f>H29</f>
        <v/>
      </c>
      <c r="N40" s="66" t="n"/>
    </row>
    <row r="41">
      <c r="D41" s="55" t="inlineStr">
        <is>
          <t>LECTURA CONTADORES ACS</t>
        </is>
      </c>
      <c r="G41" s="70" t="n">
        <v>1</v>
      </c>
      <c r="H41" s="59" t="n">
        <v>0</v>
      </c>
      <c r="I41" s="60">
        <f>H30</f>
        <v/>
      </c>
      <c r="N41" s="66" t="n"/>
    </row>
    <row r="42">
      <c r="D42" s="55" t="inlineStr">
        <is>
          <t>CONSUMO AGUA FRIA</t>
        </is>
      </c>
      <c r="G42" s="70" t="n">
        <v>0</v>
      </c>
      <c r="H42" s="59" t="n">
        <v>1</v>
      </c>
      <c r="I42" s="60">
        <f>H31</f>
        <v/>
      </c>
    </row>
    <row r="43">
      <c r="D43" s="55" t="inlineStr">
        <is>
          <t>FIJO AGUA FRIA</t>
        </is>
      </c>
      <c r="G43" s="70" t="n">
        <v>1</v>
      </c>
      <c r="H43" s="59" t="n">
        <v>0</v>
      </c>
      <c r="I43" s="60">
        <f>H32</f>
        <v/>
      </c>
    </row>
    <row r="44">
      <c r="D44" s="90" t="inlineStr">
        <is>
          <t>MTO. CORRECTIVO (REPARACIONES)</t>
        </is>
      </c>
      <c r="E44" s="21" t="n"/>
      <c r="F44" s="21" t="n"/>
      <c r="G44" s="99" t="n">
        <v>1</v>
      </c>
      <c r="H44" s="62" t="n">
        <v>0</v>
      </c>
      <c r="I44" s="63">
        <f>H33</f>
        <v/>
      </c>
    </row>
    <row r="47">
      <c r="C47" s="1" t="inlineStr">
        <is>
          <t>NOTAS:</t>
        </is>
      </c>
    </row>
    <row r="48" ht="16.5" customHeight="1">
      <c r="C48" s="77" t="inlineStr">
        <is>
          <t>(1) El reparto del coste total de COMBUSTIBLE y ELECTRICIDAD entre servicios se ha calculado con la facturación real de los suministros.</t>
        </is>
      </c>
    </row>
    <row r="49" ht="16.5" customHeight="1">
      <c r="C49" s="77" t="inlineStr">
        <is>
          <t>(2) El porcentaje de coste fijo y coste variable en COMBUSTIBLE y ELECTRICIDAD se ha calculado con la facturación real de los suministros.</t>
        </is>
      </c>
    </row>
    <row r="50" ht="16.5" customHeight="1">
      <c r="C50" s="77" t="inlineStr">
        <is>
          <t>(3) Los gastos de reparaciones indicados corresponden a los gastos reales con amortización (máx. 5 años) según la tipología.</t>
        </is>
      </c>
    </row>
    <row r="53" ht="15" customHeight="1">
      <c r="G53" s="104" t="n"/>
    </row>
    <row r="54" ht="15" customHeight="1">
      <c r="G54" s="104" t="inlineStr">
        <is>
          <t>RESULTADO DEL ANALISIS Y DEL REPARTO DE COSTES</t>
        </is>
      </c>
    </row>
    <row r="56" ht="15" customHeight="1">
      <c r="C56" s="120" t="inlineStr">
        <is>
          <t xml:space="preserve">ACS </t>
        </is>
      </c>
      <c r="D56" s="121" t="n"/>
      <c r="E56" s="121" t="n"/>
      <c r="F56" s="121" t="n"/>
      <c r="G56" s="216" t="inlineStr">
        <is>
          <t>GASTO</t>
        </is>
      </c>
      <c r="H56" s="233" t="inlineStr">
        <is>
          <t>CUOTA FIJA</t>
        </is>
      </c>
      <c r="I56" s="234" t="n"/>
      <c r="J56" s="206" t="inlineStr">
        <is>
          <t>CUOTA VARIABLE</t>
        </is>
      </c>
      <c r="K56" s="230" t="n"/>
    </row>
    <row r="57" ht="15" customHeight="1">
      <c r="C57" s="55" t="inlineStr">
        <is>
          <t>COMBUSTIBLE</t>
        </is>
      </c>
      <c r="G57" s="115">
        <f>H27*$H16</f>
        <v/>
      </c>
      <c r="H57" s="110">
        <f>G38*G57</f>
        <v/>
      </c>
      <c r="I57" s="111">
        <f>G38</f>
        <v/>
      </c>
      <c r="J57" s="6">
        <f>H38*G57</f>
        <v/>
      </c>
      <c r="K57" s="122">
        <f>H38</f>
        <v/>
      </c>
    </row>
    <row r="58" ht="15" customHeight="1">
      <c r="C58" s="55" t="inlineStr">
        <is>
          <t>ELECTRICIDAD</t>
        </is>
      </c>
      <c r="G58" s="115">
        <f>H28*$H17</f>
        <v/>
      </c>
      <c r="H58" s="110">
        <f>G39*G58</f>
        <v/>
      </c>
      <c r="I58" s="111">
        <f>G39</f>
        <v/>
      </c>
      <c r="J58" s="6">
        <f>H39*G58</f>
        <v/>
      </c>
      <c r="K58" s="122">
        <f>H39</f>
        <v/>
      </c>
    </row>
    <row r="59" ht="15" customHeight="1">
      <c r="C59" s="55" t="inlineStr">
        <is>
          <t>MTO. PREVENTIVO</t>
        </is>
      </c>
      <c r="G59" s="115">
        <f>H29*$H18</f>
        <v/>
      </c>
      <c r="H59" s="110">
        <f>G40*G59</f>
        <v/>
      </c>
      <c r="I59" s="112">
        <f>G40</f>
        <v/>
      </c>
      <c r="J59" s="6">
        <f>H40*G59</f>
        <v/>
      </c>
      <c r="K59" s="60">
        <f>H40</f>
        <v/>
      </c>
    </row>
    <row r="60" ht="15" customHeight="1">
      <c r="C60" s="55" t="inlineStr">
        <is>
          <t>LECTURA CONTADORES ACS</t>
        </is>
      </c>
      <c r="G60" s="115">
        <f>H30*$H19</f>
        <v/>
      </c>
      <c r="H60" s="110">
        <f>G41*G60</f>
        <v/>
      </c>
      <c r="I60" s="112">
        <f>G41</f>
        <v/>
      </c>
      <c r="J60" s="6">
        <f>H41*G60</f>
        <v/>
      </c>
      <c r="K60" s="60">
        <f>H41</f>
        <v/>
      </c>
    </row>
    <row r="61" ht="15" customHeight="1">
      <c r="C61" s="55" t="inlineStr">
        <is>
          <t>CONSUMO AGUA FRIA</t>
        </is>
      </c>
      <c r="G61" s="115">
        <f>H31*$H20</f>
        <v/>
      </c>
      <c r="H61" s="110">
        <f>G42*G61</f>
        <v/>
      </c>
      <c r="I61" s="112">
        <f>G42</f>
        <v/>
      </c>
      <c r="J61" s="6">
        <f>H42*G61</f>
        <v/>
      </c>
      <c r="K61" s="60">
        <f>H42</f>
        <v/>
      </c>
    </row>
    <row r="62" ht="15" customHeight="1">
      <c r="C62" s="55" t="inlineStr">
        <is>
          <t>FIJO AGUA FRIA</t>
        </is>
      </c>
      <c r="G62" s="115">
        <f>H32*$H21</f>
        <v/>
      </c>
      <c r="H62" s="110">
        <f>G43*G62</f>
        <v/>
      </c>
      <c r="I62" s="112">
        <f>G43</f>
        <v/>
      </c>
      <c r="J62" s="6">
        <f>H43*G62</f>
        <v/>
      </c>
      <c r="K62" s="60">
        <f>H43</f>
        <v/>
      </c>
    </row>
    <row r="63" ht="15" customHeight="1">
      <c r="C63" s="55" t="inlineStr">
        <is>
          <t>MTO. CORRECTIVO (REPARACIONES)</t>
        </is>
      </c>
      <c r="F63" s="107" t="n"/>
      <c r="G63" s="116">
        <f>H33*$H22</f>
        <v/>
      </c>
      <c r="H63" s="113">
        <f>G44*G63</f>
        <v/>
      </c>
      <c r="I63" s="114">
        <f>G44</f>
        <v/>
      </c>
      <c r="J63" s="108">
        <f>H44*G63</f>
        <v/>
      </c>
      <c r="K63" s="123">
        <f>H44</f>
        <v/>
      </c>
    </row>
    <row r="64" ht="15" customHeight="1">
      <c r="C64" s="55" t="n"/>
      <c r="F64" s="130" t="inlineStr">
        <is>
          <t>TOTAL ….</t>
        </is>
      </c>
      <c r="G64" s="118">
        <f>SUM(G57:G63)</f>
        <v/>
      </c>
      <c r="H64" s="117">
        <f>SUM(H57:H63)</f>
        <v/>
      </c>
      <c r="I64" s="119" t="n"/>
      <c r="J64" s="117">
        <f>SUM(J57:J63)</f>
        <v/>
      </c>
      <c r="K64" s="124" t="n"/>
      <c r="U64" s="6">
        <f>H64/50</f>
        <v/>
      </c>
    </row>
    <row r="65">
      <c r="C65" s="55" t="n"/>
      <c r="K65" s="56" t="n"/>
    </row>
    <row r="66" ht="15" customHeight="1">
      <c r="C66" s="55" t="n"/>
      <c r="F66" s="29" t="inlineStr">
        <is>
          <t>IMPORTE COBRADO….</t>
        </is>
      </c>
      <c r="G66" s="126">
        <f>H66+J66</f>
        <v/>
      </c>
      <c r="H66" s="126">
        <f>'LECTURAS ACS M3'!I27</f>
        <v/>
      </c>
      <c r="I66" s="51" t="n"/>
      <c r="J66" s="126">
        <f>'LECTURAS ACS M3'!H27</f>
        <v/>
      </c>
      <c r="K66" s="56" t="n"/>
    </row>
    <row r="67" ht="15" customHeight="1">
      <c r="C67" s="90" t="n"/>
      <c r="D67" s="21" t="n"/>
      <c r="E67" s="21" t="n"/>
      <c r="F67" s="32" t="inlineStr">
        <is>
          <t>DIFERENCIA ….</t>
        </is>
      </c>
      <c r="G67" s="127">
        <f>G66-G64</f>
        <v/>
      </c>
      <c r="H67" s="127">
        <f>H66-H64</f>
        <v/>
      </c>
      <c r="I67" s="128" t="n"/>
      <c r="J67" s="127">
        <f>J66-J64</f>
        <v/>
      </c>
      <c r="K67" s="125" t="n"/>
      <c r="R67" s="6">
        <f>3*4.92</f>
        <v/>
      </c>
    </row>
    <row r="69" ht="15" customHeight="1">
      <c r="C69" s="109" t="n"/>
      <c r="D69" s="109" t="n"/>
      <c r="E69" s="109" t="n"/>
      <c r="F69" s="209" t="inlineStr">
        <is>
          <t>FACTURADO</t>
        </is>
      </c>
      <c r="G69" s="131" t="inlineStr">
        <is>
          <t>COSTE REAL</t>
        </is>
      </c>
      <c r="H69" s="207" t="inlineStr">
        <is>
          <t>DIFERENCIA COSTE REAL - FACTURADO</t>
        </is>
      </c>
      <c r="I69" s="231" t="n"/>
      <c r="J69" s="231" t="n"/>
      <c r="K69" s="109" t="n"/>
    </row>
    <row r="70" ht="15" customHeight="1">
      <c r="C70" s="109" t="n"/>
      <c r="D70" s="109" t="n"/>
      <c r="E70" s="132" t="inlineStr">
        <is>
          <t>Cuota fija vivienda/mes (€/mes)</t>
        </is>
      </c>
      <c r="F70" s="149">
        <f>G11</f>
        <v/>
      </c>
      <c r="G70" s="184">
        <f>(H64/G7)/12</f>
        <v/>
      </c>
      <c r="H70" s="143">
        <f>-G70+F70</f>
        <v/>
      </c>
      <c r="I70" s="109" t="inlineStr">
        <is>
          <t>€/mes</t>
        </is>
      </c>
      <c r="J70" s="134">
        <f>H70/G70</f>
        <v/>
      </c>
      <c r="K70" s="109" t="n"/>
      <c r="U70" s="1">
        <f>(5.93-5.9272)*12*50</f>
        <v/>
      </c>
    </row>
    <row r="71" ht="15" customHeight="1">
      <c r="C71" s="109" t="n"/>
      <c r="D71" s="109" t="n"/>
      <c r="E71" s="132" t="inlineStr">
        <is>
          <t>Cuota variable m3 consumido (€/m3)</t>
        </is>
      </c>
      <c r="F71" s="149">
        <f>G12</f>
        <v/>
      </c>
      <c r="G71" s="133">
        <f>J64/G10</f>
        <v/>
      </c>
      <c r="H71" s="143">
        <f>-G71+F71</f>
        <v/>
      </c>
      <c r="I71" s="109" t="inlineStr">
        <is>
          <t>€/m3</t>
        </is>
      </c>
      <c r="J71" s="134">
        <f>H71/G71</f>
        <v/>
      </c>
      <c r="K71" s="109" t="n"/>
      <c r="U71" s="6">
        <f>H64-U70</f>
        <v/>
      </c>
    </row>
    <row r="72">
      <c r="H72" s="144" t="n"/>
    </row>
    <row r="73">
      <c r="F73" s="83" t="n"/>
      <c r="H73" s="67" t="n"/>
      <c r="R73" s="1">
        <f>1194.15/50/12</f>
        <v/>
      </c>
    </row>
    <row r="75" ht="15" customHeight="1" thickBot="1"/>
    <row r="76" ht="15" customHeight="1" thickTop="1">
      <c r="C76" s="136" t="n"/>
      <c r="D76" s="136" t="n"/>
      <c r="E76" s="136" t="n"/>
      <c r="F76" s="136" t="n"/>
      <c r="G76" s="136" t="n"/>
      <c r="H76" s="136" t="n"/>
      <c r="I76" s="136" t="n"/>
      <c r="J76" s="136" t="n"/>
      <c r="K76" s="136" t="n"/>
    </row>
    <row r="77" ht="15" customHeight="1">
      <c r="C77" s="214" t="inlineStr">
        <is>
          <t>IMPORTES A FACTURAR EN EL SIGUIENTE EJERCICIO (2026-2027)</t>
        </is>
      </c>
    </row>
    <row r="78" ht="6.95" customHeight="1">
      <c r="C78" s="135" t="n"/>
      <c r="D78" s="135" t="n"/>
      <c r="E78" s="135" t="n"/>
      <c r="F78" s="135" t="n"/>
      <c r="G78" s="214" t="n"/>
      <c r="H78" s="135" t="n"/>
      <c r="I78" s="135" t="n"/>
      <c r="J78" s="135" t="n"/>
      <c r="K78" s="135" t="n"/>
    </row>
    <row r="79" ht="15" customHeight="1">
      <c r="C79" s="135" t="n"/>
      <c r="D79" s="135" t="n"/>
      <c r="E79" s="135" t="n"/>
      <c r="F79" s="135" t="n"/>
      <c r="G79" s="213" t="inlineStr">
        <is>
          <t>ACS</t>
        </is>
      </c>
      <c r="H79" s="231" t="n"/>
      <c r="I79" s="135" t="n"/>
      <c r="J79" s="135" t="n"/>
      <c r="K79" s="135" t="n"/>
    </row>
    <row r="80" ht="15.75" customHeight="1">
      <c r="C80" s="135" t="n"/>
      <c r="D80" s="135" t="n"/>
      <c r="E80" s="135" t="n"/>
      <c r="F80" s="138" t="inlineStr">
        <is>
          <t>Cuota fija vivienda/mes (€/mes)</t>
        </is>
      </c>
      <c r="G80" s="147" t="n">
        <v>6</v>
      </c>
      <c r="H80" s="148" t="inlineStr">
        <is>
          <t>/mes</t>
        </is>
      </c>
      <c r="I80" s="135" t="n"/>
      <c r="J80" s="135" t="n"/>
      <c r="K80" s="135" t="n"/>
    </row>
    <row r="81" ht="15.75" customHeight="1">
      <c r="C81" s="135" t="n"/>
      <c r="D81" s="135" t="n"/>
      <c r="E81" s="135" t="n"/>
      <c r="F81" s="138" t="inlineStr">
        <is>
          <t>Cuota variable m3 consumido (€/m3)</t>
        </is>
      </c>
      <c r="G81" s="147" t="n">
        <v>14</v>
      </c>
      <c r="H81" s="148" t="inlineStr">
        <is>
          <t>/m3</t>
        </is>
      </c>
      <c r="I81" s="135" t="n"/>
      <c r="J81" s="135" t="n"/>
      <c r="K81" s="135" t="n"/>
    </row>
    <row r="82" ht="15" customHeight="1" thickBot="1">
      <c r="C82" s="137" t="n"/>
      <c r="D82" s="137" t="n"/>
      <c r="E82" s="137" t="n"/>
      <c r="F82" s="137" t="n"/>
      <c r="G82" s="137" t="n"/>
      <c r="H82" s="137" t="n"/>
      <c r="I82" s="137" t="n"/>
      <c r="J82" s="137" t="n"/>
      <c r="K82" s="137" t="n"/>
    </row>
    <row r="83" ht="15" customHeight="1" thickTop="1"/>
    <row r="84" ht="6.95" customHeight="1"/>
  </sheetData>
  <mergeCells count="11">
    <mergeCell ref="H56:I56"/>
    <mergeCell ref="D37:F37"/>
    <mergeCell ref="G7:H7"/>
    <mergeCell ref="G15:H15"/>
    <mergeCell ref="D36:F36"/>
    <mergeCell ref="G8:H8"/>
    <mergeCell ref="G9:H9"/>
    <mergeCell ref="C77:K77"/>
    <mergeCell ref="H69:J69"/>
    <mergeCell ref="G79:H79"/>
    <mergeCell ref="J56:K56"/>
  </mergeCells>
  <pageMargins left="0.7086614173228347" right="0.7086614173228347" top="0.5511811023622047" bottom="0.7480314960629921" header="0.3149606299212598" footer="0.3149606299212598"/>
  <pageSetup orientation="portrait" paperSize="9" scale="57" horizontalDpi="1200" verticalDpi="1200"/>
  <rowBreaks count="1" manualBreakCount="1">
    <brk id="5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Meditrade del Ebro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2026-09-20T18:39:38Z</dcterms:modified>
  <cp:lastModifiedBy>Fernando Piazuelo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0x010100EDC2B24361F00C4E9524DE276873A487</vt:lpwstr>
  </property>
  <property name="MediaServiceImageTags" fmtid="{D5CDD505-2E9C-101B-9397-08002B2CF9AE}" pid="3">
    <vt:lpwstr xmlns:vt="http://schemas.openxmlformats.org/officeDocument/2006/docPropsVTypes"/>
  </property>
</Properties>
</file>