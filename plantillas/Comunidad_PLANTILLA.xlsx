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611" firstSheet="6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GAS" sheetId="2" state="visible" r:id="rId2"/>
    <sheet xmlns:r="http://schemas.openxmlformats.org/officeDocument/2006/relationships" name="ELECTRICIDAD" sheetId="3" state="visible" r:id="rId3"/>
    <sheet xmlns:r="http://schemas.openxmlformats.org/officeDocument/2006/relationships" name="AGUA" sheetId="4" state="visible" r:id="rId4"/>
    <sheet xmlns:r="http://schemas.openxmlformats.org/officeDocument/2006/relationships" name="OTROS GASTOS" sheetId="5" state="visible" r:id="rId5"/>
    <sheet xmlns:r="http://schemas.openxmlformats.org/officeDocument/2006/relationships" name="LECTURAS ACS M3" sheetId="6" state="visible" r:id="rId6"/>
    <sheet xmlns:r="http://schemas.openxmlformats.org/officeDocument/2006/relationships" name="LECTURAS CALEF KWH" sheetId="7" state="visible" r:id="rId7"/>
    <sheet xmlns:r="http://schemas.openxmlformats.org/officeDocument/2006/relationships" name="ANALISIS PLANTILLA" sheetId="8" state="hidden" r:id="rId8"/>
    <sheet xmlns:r="http://schemas.openxmlformats.org/officeDocument/2006/relationships" name="RESUMEN" sheetId="9" state="visible" r:id="rId9"/>
  </sheets>
  <definedNames>
    <definedName name="_xlnm.Print_Area" localSheetId="7">'ANALISIS PLANTILLA'!$A$1:$L$133</definedName>
    <definedName name="_xlnm.Print_Area" localSheetId="8">'RESUMEN'!$A$1:$I$104</definedName>
  </definedNames>
  <calcPr calcId="191029" fullCalcOnLoad="1"/>
</workbook>
</file>

<file path=xl/styles.xml><?xml version="1.0" encoding="utf-8"?>
<styleSheet xmlns="http://schemas.openxmlformats.org/spreadsheetml/2006/main">
  <numFmts count="7">
    <numFmt numFmtId="164" formatCode="#,##0.00\ &quot;€&quot;"/>
    <numFmt numFmtId="165" formatCode="#,##0.000000\ &quot;€&quot;"/>
    <numFmt numFmtId="166" formatCode="#,##0.000\ &quot;€&quot;"/>
    <numFmt numFmtId="167" formatCode="0.0%"/>
    <numFmt numFmtId="168" formatCode="d/mm/yyyy;@"/>
    <numFmt numFmtId="169" formatCode="#,##0_ ;\-#,##0\ "/>
    <numFmt numFmtId="170" formatCode="#,##0.00\ &quot;€&quot;;\-#,##0.00\ &quot;€&quot;"/>
  </numFmts>
  <fonts count="21">
    <font>
      <name val="Calibri"/>
      <family val="2"/>
      <color theme="1"/>
      <sz val="11"/>
      <scheme val="minor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Arial"/>
      <family val="2"/>
      <sz val="11"/>
    </font>
    <font>
      <name val="Arial"/>
      <family val="2"/>
      <b val="1"/>
      <sz val="11"/>
    </font>
    <font>
      <name val="Arial"/>
      <family val="2"/>
      <b val="1"/>
      <color theme="1"/>
      <sz val="11"/>
      <vertAlign val="superscript"/>
    </font>
    <font>
      <name val="Arial"/>
      <family val="2"/>
      <b val="1"/>
      <color theme="0" tint="-0.3499862666707358"/>
      <sz val="11"/>
    </font>
    <font>
      <name val="Arial"/>
      <family val="2"/>
      <color theme="0" tint="-0.3499862666707358"/>
      <sz val="11"/>
    </font>
    <font>
      <name val="Arial"/>
      <family val="2"/>
      <color theme="1"/>
      <sz val="11"/>
      <vertAlign val="superscript"/>
    </font>
    <font>
      <name val="Arial"/>
      <family val="2"/>
      <color theme="1"/>
      <sz val="8"/>
    </font>
    <font>
      <name val="Arial"/>
      <family val="2"/>
      <sz val="10"/>
    </font>
    <font>
      <name val="Arial"/>
      <family val="2"/>
      <color theme="1"/>
      <sz val="10"/>
    </font>
    <font>
      <name val="Arial"/>
      <family val="2"/>
      <b val="1"/>
      <color theme="1"/>
      <sz val="11"/>
      <u val="single"/>
    </font>
    <font>
      <name val="Arial"/>
      <family val="2"/>
      <b val="1"/>
      <color rgb="FF0070C0"/>
      <sz val="11"/>
    </font>
    <font>
      <name val="Calibri"/>
      <family val="2"/>
      <color rgb="FF000000"/>
      <sz val="11"/>
      <scheme val="minor"/>
    </font>
    <font>
      <name val="Arial"/>
      <family val="2"/>
      <color theme="1"/>
      <sz val="9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color theme="1"/>
      <sz val="10"/>
      <vertAlign val="superscript"/>
    </font>
    <font>
      <name val="Arial"/>
      <family val="2"/>
      <b val="1"/>
      <color rgb="FFFF0000"/>
      <sz val="11"/>
    </font>
    <font>
      <name val="Arial"/>
      <family val="2"/>
      <color rgb="FFFF0000"/>
      <sz val="11"/>
    </font>
  </fonts>
  <fills count="7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5" tint="0.7999816888943144"/>
        <bgColor indexed="64"/>
      </patternFill>
    </fill>
  </fills>
  <borders count="3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FF0000"/>
      </right>
      <top/>
      <bottom style="thin">
        <color rgb="FFFF0000"/>
      </bottom>
      <diagonal/>
    </border>
    <border>
      <left/>
      <right style="thin">
        <color rgb="FFFF0000"/>
      </right>
      <top/>
      <bottom/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/>
      <top/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 style="thin">
        <color rgb="FFFF0000"/>
      </top>
      <bottom style="thin">
        <color rgb="FFFF0000"/>
      </bottom>
      <diagonal/>
    </border>
    <border>
      <left/>
      <right style="thin">
        <color rgb="FFFF0000"/>
      </right>
      <top style="thin">
        <color rgb="FFFF0000"/>
      </top>
      <bottom style="thin">
        <color rgb="FFFF0000"/>
      </bottom>
      <diagonal/>
    </border>
    <border>
      <left/>
      <right style="thin">
        <color rgb="FFFF0000"/>
      </right>
      <top style="thin">
        <color auto="1"/>
      </top>
      <bottom/>
      <diagonal/>
    </border>
    <border>
      <left style="thin">
        <color rgb="FFFF0000"/>
      </left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rgb="FFFF0000"/>
      </bottom>
      <diagonal/>
    </border>
    <border>
      <left/>
      <right style="thin">
        <color auto="1"/>
      </right>
      <top style="thin">
        <color rgb="FFFF0000"/>
      </top>
      <bottom style="thin">
        <color rgb="FFFF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double">
        <color auto="1"/>
      </top>
      <bottom/>
      <diagonal/>
    </border>
    <border>
      <left/>
      <right/>
      <top/>
      <bottom style="double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FF0000"/>
      </left>
      <right style="thin">
        <color rgb="FFFF0000"/>
      </right>
      <top/>
      <bottom/>
      <diagonal/>
    </border>
    <border>
      <left style="thin">
        <color rgb="FFFF0000"/>
      </left>
      <right style="thin">
        <color rgb="FFFF0000"/>
      </right>
      <top/>
      <bottom style="thin">
        <color rgb="FFFF0000"/>
      </bottom>
      <diagonal/>
    </border>
    <border>
      <left style="thin">
        <color rgb="FFFF0000"/>
      </left>
      <right/>
      <top style="thin">
        <color rgb="FFFF0000"/>
      </top>
      <bottom/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/>
      <right style="thin">
        <color rgb="FFFF0000"/>
      </right>
      <top style="thin">
        <color rgb="FFFF0000"/>
      </top>
      <bottom/>
      <diagonal/>
    </border>
    <border>
      <left style="thin">
        <color indexed="64"/>
      </left>
      <right/>
      <top style="thin">
        <color rgb="FFFF0000"/>
      </top>
      <bottom/>
      <diagonal/>
    </border>
    <border>
      <left style="thin">
        <color rgb="FFFF0000"/>
      </left>
      <right style="thin">
        <color rgb="FFFF0000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</borders>
  <cellStyleXfs count="3">
    <xf numFmtId="0" fontId="16" fillId="0" borderId="0"/>
    <xf numFmtId="0" fontId="14" fillId="0" borderId="0"/>
    <xf numFmtId="43" fontId="16" fillId="0" borderId="0"/>
  </cellStyleXfs>
  <cellXfs count="248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14" fontId="1" fillId="0" borderId="0" applyAlignment="1" pivotButton="0" quotePrefix="0" xfId="0">
      <alignment horizontal="center"/>
    </xf>
    <xf numFmtId="3" fontId="1" fillId="0" borderId="0" pivotButton="0" quotePrefix="0" xfId="0"/>
    <xf numFmtId="4" fontId="1" fillId="0" borderId="0" pivotButton="0" quotePrefix="0" xfId="0"/>
    <xf numFmtId="164" fontId="1" fillId="0" borderId="0" pivotButton="0" quotePrefix="0" xfId="0"/>
    <xf numFmtId="165" fontId="1" fillId="0" borderId="0" pivotButton="0" quotePrefix="0" xfId="0"/>
    <xf numFmtId="0" fontId="1" fillId="0" borderId="0" applyAlignment="1" pivotButton="0" quotePrefix="0" xfId="0">
      <alignment wrapText="1"/>
    </xf>
    <xf numFmtId="14" fontId="1" fillId="0" borderId="0" applyAlignment="1" pivotButton="0" quotePrefix="0" xfId="0">
      <alignment horizontal="center" wrapText="1"/>
    </xf>
    <xf numFmtId="3" fontId="1" fillId="0" borderId="0" applyAlignment="1" pivotButton="0" quotePrefix="0" xfId="0">
      <alignment wrapText="1"/>
    </xf>
    <xf numFmtId="4" fontId="1" fillId="0" borderId="0" applyAlignment="1" pivotButton="0" quotePrefix="0" xfId="0">
      <alignment wrapText="1"/>
    </xf>
    <xf numFmtId="164" fontId="1" fillId="0" borderId="0" applyAlignment="1" pivotButton="0" quotePrefix="0" xfId="0">
      <alignment wrapText="1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horizontal="center" vertical="top" wrapText="1"/>
    </xf>
    <xf numFmtId="3" fontId="1" fillId="0" borderId="0" applyAlignment="1" pivotButton="0" quotePrefix="0" xfId="0">
      <alignment horizontal="right"/>
    </xf>
    <xf numFmtId="14" fontId="1" fillId="0" borderId="1" applyAlignment="1" pivotButton="0" quotePrefix="0" xfId="0">
      <alignment horizontal="center"/>
    </xf>
    <xf numFmtId="3" fontId="1" fillId="0" borderId="1" pivotButton="0" quotePrefix="0" xfId="0"/>
    <xf numFmtId="3" fontId="1" fillId="0" borderId="1" applyAlignment="1" pivotButton="0" quotePrefix="0" xfId="0">
      <alignment wrapText="1"/>
    </xf>
    <xf numFmtId="4" fontId="1" fillId="0" borderId="1" pivotButton="0" quotePrefix="0" xfId="0"/>
    <xf numFmtId="164" fontId="1" fillId="0" borderId="1" pivotButton="0" quotePrefix="0" xfId="0"/>
    <xf numFmtId="0" fontId="1" fillId="0" borderId="1" pivotButton="0" quotePrefix="0" xfId="0"/>
    <xf numFmtId="0" fontId="1" fillId="0" borderId="0" applyAlignment="1" pivotButton="0" quotePrefix="0" xfId="0">
      <alignment horizontal="left"/>
    </xf>
    <xf numFmtId="165" fontId="2" fillId="0" borderId="0" applyAlignment="1" pivotButton="0" quotePrefix="0" xfId="0">
      <alignment horizontal="center" vertical="top" wrapText="1"/>
    </xf>
    <xf numFmtId="17" fontId="1" fillId="0" borderId="1" applyAlignment="1" pivotButton="0" quotePrefix="0" xfId="0">
      <alignment horizontal="center"/>
    </xf>
    <xf numFmtId="166" fontId="4" fillId="0" borderId="0" applyAlignment="1" pivotButton="0" quotePrefix="0" xfId="0">
      <alignment horizontal="center"/>
    </xf>
    <xf numFmtId="17" fontId="1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right"/>
    </xf>
    <xf numFmtId="0" fontId="1" fillId="0" borderId="0" applyAlignment="1" pivotButton="0" quotePrefix="0" xfId="0">
      <alignment horizontal="right"/>
    </xf>
    <xf numFmtId="164" fontId="1" fillId="0" borderId="0" applyAlignment="1" pivotButton="0" quotePrefix="0" xfId="0">
      <alignment horizontal="right"/>
    </xf>
    <xf numFmtId="164" fontId="3" fillId="0" borderId="1" applyAlignment="1" pivotButton="0" quotePrefix="0" xfId="0">
      <alignment horizontal="right"/>
    </xf>
    <xf numFmtId="0" fontId="1" fillId="0" borderId="1" applyAlignment="1" pivotButton="0" quotePrefix="0" xfId="0">
      <alignment horizontal="right"/>
    </xf>
    <xf numFmtId="164" fontId="1" fillId="0" borderId="1" applyAlignment="1" pivotButton="0" quotePrefix="0" xfId="0">
      <alignment horizontal="right"/>
    </xf>
    <xf numFmtId="4" fontId="7" fillId="0" borderId="0" applyAlignment="1" pivotButton="0" quotePrefix="0" xfId="0">
      <alignment wrapText="1"/>
    </xf>
    <xf numFmtId="0" fontId="7" fillId="0" borderId="0" pivotButton="0" quotePrefix="0" xfId="0"/>
    <xf numFmtId="4" fontId="7" fillId="0" borderId="0" pivotButton="0" quotePrefix="0" xfId="0"/>
    <xf numFmtId="4" fontId="7" fillId="0" borderId="1" applyAlignment="1" pivotButton="0" quotePrefix="0" xfId="0">
      <alignment wrapText="1"/>
    </xf>
    <xf numFmtId="4" fontId="7" fillId="0" borderId="1" pivotButton="0" quotePrefix="0" xfId="0"/>
    <xf numFmtId="0" fontId="7" fillId="0" borderId="1" pivotButton="0" quotePrefix="0" xfId="0"/>
    <xf numFmtId="10" fontId="7" fillId="0" borderId="0" pivotButton="0" quotePrefix="0" xfId="0"/>
    <xf numFmtId="165" fontId="7" fillId="0" borderId="0" applyAlignment="1" pivotButton="0" quotePrefix="0" xfId="0">
      <alignment wrapText="1"/>
    </xf>
    <xf numFmtId="165" fontId="7" fillId="0" borderId="0" pivotButton="0" quotePrefix="0" xfId="0"/>
    <xf numFmtId="165" fontId="7" fillId="0" borderId="1" applyAlignment="1" pivotButton="0" quotePrefix="0" xfId="0">
      <alignment wrapText="1"/>
    </xf>
    <xf numFmtId="0" fontId="3" fillId="0" borderId="0" pivotButton="0" quotePrefix="0" xfId="0"/>
    <xf numFmtId="164" fontId="0" fillId="0" borderId="0" pivotButton="0" quotePrefix="0" xfId="0"/>
    <xf numFmtId="14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3" fontId="3" fillId="0" borderId="0" applyAlignment="1" pivotButton="0" quotePrefix="0" xfId="0">
      <alignment horizontal="right"/>
    </xf>
    <xf numFmtId="3" fontId="3" fillId="0" borderId="1" applyAlignment="1" pivotButton="0" quotePrefix="0" xfId="0">
      <alignment horizontal="right"/>
    </xf>
    <xf numFmtId="14" fontId="3" fillId="0" borderId="1" applyAlignment="1" pivotButton="0" quotePrefix="0" xfId="0">
      <alignment horizontal="center"/>
    </xf>
    <xf numFmtId="0" fontId="2" fillId="0" borderId="0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6" applyAlignment="1" pivotButton="0" quotePrefix="0" xfId="0">
      <alignment horizontal="center"/>
    </xf>
    <xf numFmtId="0" fontId="1" fillId="0" borderId="5" pivotButton="0" quotePrefix="1" xfId="0"/>
    <xf numFmtId="9" fontId="1" fillId="0" borderId="0" applyAlignment="1" pivotButton="0" quotePrefix="0" xfId="0">
      <alignment horizontal="center"/>
    </xf>
    <xf numFmtId="9" fontId="1" fillId="0" borderId="6" applyAlignment="1" pivotButton="0" quotePrefix="0" xfId="0">
      <alignment horizontal="center"/>
    </xf>
    <xf numFmtId="0" fontId="1" fillId="0" borderId="7" pivotButton="0" quotePrefix="1" xfId="0"/>
    <xf numFmtId="9" fontId="1" fillId="0" borderId="1" applyAlignment="1" pivotButton="0" quotePrefix="0" xfId="0">
      <alignment horizontal="center"/>
    </xf>
    <xf numFmtId="9" fontId="1" fillId="0" borderId="8" applyAlignment="1" pivotButton="0" quotePrefix="0" xfId="0">
      <alignment horizontal="center"/>
    </xf>
    <xf numFmtId="10" fontId="1" fillId="0" borderId="0" pivotButton="0" quotePrefix="0" xfId="0"/>
    <xf numFmtId="10" fontId="1" fillId="0" borderId="1" pivotButton="0" quotePrefix="0" xfId="0"/>
    <xf numFmtId="0" fontId="9" fillId="0" borderId="0" pivotButton="0" quotePrefix="0" xfId="0"/>
    <xf numFmtId="0" fontId="1" fillId="0" borderId="0" pivotButton="0" quotePrefix="1" xfId="0"/>
    <xf numFmtId="167" fontId="1" fillId="0" borderId="5" applyAlignment="1" pivotButton="0" quotePrefix="0" xfId="0">
      <alignment horizontal="center"/>
    </xf>
    <xf numFmtId="167" fontId="1" fillId="0" borderId="0" applyAlignment="1" pivotButton="0" quotePrefix="0" xfId="0">
      <alignment horizontal="center"/>
    </xf>
    <xf numFmtId="9" fontId="1" fillId="0" borderId="5" applyAlignment="1" pivotButton="0" quotePrefix="0" xfId="0">
      <alignment horizontal="center"/>
    </xf>
    <xf numFmtId="165" fontId="7" fillId="2" borderId="0" applyAlignment="1" pivotButton="0" quotePrefix="0" xfId="0">
      <alignment wrapText="1"/>
    </xf>
    <xf numFmtId="165" fontId="7" fillId="2" borderId="0" pivotButton="0" quotePrefix="0" xfId="0"/>
    <xf numFmtId="165" fontId="7" fillId="0" borderId="1" pivotButton="0" quotePrefix="0" xfId="0"/>
    <xf numFmtId="0" fontId="1" fillId="0" borderId="1" applyAlignment="1" pivotButton="0" quotePrefix="0" xfId="0">
      <alignment horizontal="center"/>
    </xf>
    <xf numFmtId="10" fontId="4" fillId="3" borderId="0" pivotButton="0" quotePrefix="0" xfId="0"/>
    <xf numFmtId="0" fontId="8" fillId="0" borderId="0" pivotButton="0" quotePrefix="1" xfId="0"/>
    <xf numFmtId="168" fontId="0" fillId="0" borderId="0" pivotButton="0" quotePrefix="0" xfId="0"/>
    <xf numFmtId="3" fontId="1" fillId="2" borderId="0" applyAlignment="1" pivotButton="0" quotePrefix="0" xfId="0">
      <alignment horizontal="right"/>
    </xf>
    <xf numFmtId="0" fontId="1" fillId="2" borderId="0" pivotButton="0" quotePrefix="1" xfId="0"/>
    <xf numFmtId="164" fontId="3" fillId="2" borderId="0" applyAlignment="1" pivotButton="0" quotePrefix="0" xfId="0">
      <alignment horizontal="right"/>
    </xf>
    <xf numFmtId="164" fontId="10" fillId="0" borderId="0" applyAlignment="1" pivotButton="0" quotePrefix="0" xfId="0">
      <alignment horizontal="right"/>
    </xf>
    <xf numFmtId="0" fontId="1" fillId="0" borderId="11" pivotButton="0" quotePrefix="0" xfId="0"/>
    <xf numFmtId="9" fontId="1" fillId="0" borderId="11" pivotButton="0" quotePrefix="0" xfId="0"/>
    <xf numFmtId="164" fontId="1" fillId="4" borderId="0" applyAlignment="1" pivotButton="0" quotePrefix="0" xfId="0">
      <alignment horizontal="right"/>
    </xf>
    <xf numFmtId="164" fontId="3" fillId="4" borderId="1" applyAlignment="1" pivotButton="0" quotePrefix="0" xfId="0">
      <alignment horizontal="right"/>
    </xf>
    <xf numFmtId="164" fontId="2" fillId="4" borderId="11" pivotButton="0" quotePrefix="0" xfId="0"/>
    <xf numFmtId="0" fontId="1" fillId="0" borderId="7" pivotButton="0" quotePrefix="0" xfId="0"/>
    <xf numFmtId="0" fontId="2" fillId="5" borderId="9" pivotButton="0" quotePrefix="0" xfId="0"/>
    <xf numFmtId="0" fontId="1" fillId="5" borderId="11" pivotButton="0" quotePrefix="0" xfId="0"/>
    <xf numFmtId="0" fontId="2" fillId="5" borderId="10" applyAlignment="1" pivotButton="0" quotePrefix="0" xfId="0">
      <alignment horizontal="center"/>
    </xf>
    <xf numFmtId="0" fontId="11" fillId="0" borderId="9" applyAlignment="1" pivotButton="0" quotePrefix="0" xfId="0">
      <alignment horizontal="center"/>
    </xf>
    <xf numFmtId="0" fontId="11" fillId="0" borderId="11" applyAlignment="1" pivotButton="0" quotePrefix="0" xfId="0">
      <alignment horizontal="center"/>
    </xf>
    <xf numFmtId="167" fontId="1" fillId="0" borderId="3" applyAlignment="1" pivotButton="0" quotePrefix="0" xfId="0">
      <alignment horizontal="center"/>
    </xf>
    <xf numFmtId="167" fontId="1" fillId="0" borderId="2" applyAlignment="1" pivotButton="0" quotePrefix="0" xfId="0">
      <alignment horizontal="center"/>
    </xf>
    <xf numFmtId="9" fontId="1" fillId="0" borderId="4" applyAlignment="1" pivotButton="0" quotePrefix="0" xfId="0">
      <alignment horizontal="center"/>
    </xf>
    <xf numFmtId="9" fontId="1" fillId="0" borderId="7" applyAlignment="1" pivotButton="0" quotePrefix="0" xfId="0">
      <alignment horizontal="center"/>
    </xf>
    <xf numFmtId="0" fontId="2" fillId="6" borderId="9" pivotButton="0" quotePrefix="0" xfId="0"/>
    <xf numFmtId="0" fontId="2" fillId="6" borderId="11" applyAlignment="1" pivotButton="0" quotePrefix="0" xfId="0">
      <alignment horizontal="center"/>
    </xf>
    <xf numFmtId="0" fontId="2" fillId="6" borderId="10" pivotButton="0" quotePrefix="0" xfId="0"/>
    <xf numFmtId="0" fontId="11" fillId="0" borderId="1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11" fillId="0" borderId="0" pivotButton="0" quotePrefix="0" xfId="0"/>
    <xf numFmtId="0" fontId="1" fillId="0" borderId="14" pivotButton="0" quotePrefix="0" xfId="0"/>
    <xf numFmtId="164" fontId="1" fillId="0" borderId="14" pivotButton="0" quotePrefix="0" xfId="0"/>
    <xf numFmtId="0" fontId="1" fillId="5" borderId="0" pivotButton="0" quotePrefix="0" xfId="0"/>
    <xf numFmtId="164" fontId="1" fillId="0" borderId="15" pivotButton="0" quotePrefix="0" xfId="0"/>
    <xf numFmtId="167" fontId="1" fillId="0" borderId="13" applyAlignment="1" pivotButton="0" quotePrefix="0" xfId="0">
      <alignment horizontal="center"/>
    </xf>
    <xf numFmtId="9" fontId="1" fillId="0" borderId="13" applyAlignment="1" pivotButton="0" quotePrefix="0" xfId="0">
      <alignment horizontal="center"/>
    </xf>
    <xf numFmtId="164" fontId="1" fillId="0" borderId="16" pivotButton="0" quotePrefix="0" xfId="0"/>
    <xf numFmtId="9" fontId="1" fillId="0" borderId="12" applyAlignment="1" pivotButton="0" quotePrefix="0" xfId="0">
      <alignment horizontal="center"/>
    </xf>
    <xf numFmtId="164" fontId="2" fillId="0" borderId="13" pivotButton="0" quotePrefix="0" xfId="0"/>
    <xf numFmtId="164" fontId="2" fillId="0" borderId="12" pivotButton="0" quotePrefix="0" xfId="0"/>
    <xf numFmtId="164" fontId="2" fillId="0" borderId="17" pivotButton="0" quotePrefix="0" xfId="0"/>
    <xf numFmtId="164" fontId="2" fillId="0" borderId="18" pivotButton="0" quotePrefix="0" xfId="0"/>
    <xf numFmtId="0" fontId="1" fillId="0" borderId="18" pivotButton="0" quotePrefix="0" xfId="0"/>
    <xf numFmtId="0" fontId="2" fillId="5" borderId="2" pivotButton="0" quotePrefix="0" xfId="0"/>
    <xf numFmtId="0" fontId="1" fillId="5" borderId="3" pivotButton="0" quotePrefix="0" xfId="0"/>
    <xf numFmtId="167" fontId="1" fillId="0" borderId="6" applyAlignment="1" pivotButton="0" quotePrefix="0" xfId="0">
      <alignment horizontal="center"/>
    </xf>
    <xf numFmtId="9" fontId="1" fillId="0" borderId="21" applyAlignment="1" pivotButton="0" quotePrefix="0" xfId="0">
      <alignment horizontal="center"/>
    </xf>
    <xf numFmtId="0" fontId="1" fillId="0" borderId="22" pivotButton="0" quotePrefix="0" xfId="0"/>
    <xf numFmtId="0" fontId="1" fillId="0" borderId="8" pivotButton="0" quotePrefix="0" xfId="0"/>
    <xf numFmtId="164" fontId="13" fillId="0" borderId="0" pivotButton="0" quotePrefix="0" xfId="0"/>
    <xf numFmtId="164" fontId="2" fillId="0" borderId="1" pivotButton="0" quotePrefix="0" xfId="0"/>
    <xf numFmtId="0" fontId="2" fillId="0" borderId="1" pivotButton="0" quotePrefix="0" xfId="0"/>
    <xf numFmtId="0" fontId="2" fillId="0" borderId="17" applyAlignment="1" pivotButton="0" quotePrefix="0" xfId="0">
      <alignment horizontal="right"/>
    </xf>
    <xf numFmtId="0" fontId="2" fillId="5" borderId="24" applyAlignment="1" pivotButton="0" quotePrefix="0" xfId="0">
      <alignment horizontal="center"/>
    </xf>
    <xf numFmtId="0" fontId="1" fillId="5" borderId="0" applyAlignment="1" pivotButton="0" quotePrefix="0" xfId="0">
      <alignment horizontal="right"/>
    </xf>
    <xf numFmtId="4" fontId="2" fillId="5" borderId="23" applyAlignment="1" pivotButton="0" quotePrefix="0" xfId="0">
      <alignment horizontal="center"/>
    </xf>
    <xf numFmtId="10" fontId="1" fillId="5" borderId="0" applyAlignment="1" pivotButton="0" quotePrefix="0" xfId="0">
      <alignment horizontal="center"/>
    </xf>
    <xf numFmtId="0" fontId="1" fillId="6" borderId="0" pivotButton="0" quotePrefix="0" xfId="0"/>
    <xf numFmtId="0" fontId="1" fillId="6" borderId="25" pivotButton="0" quotePrefix="0" xfId="0"/>
    <xf numFmtId="0" fontId="1" fillId="6" borderId="26" pivotButton="0" quotePrefix="0" xfId="0"/>
    <xf numFmtId="0" fontId="2" fillId="6" borderId="0" applyAlignment="1" pivotButton="0" quotePrefix="0" xfId="0">
      <alignment horizontal="right"/>
    </xf>
    <xf numFmtId="10" fontId="4" fillId="0" borderId="0" pivotButton="0" quotePrefix="0" xfId="0"/>
    <xf numFmtId="3" fontId="1" fillId="0" borderId="0" applyAlignment="1" pivotButton="0" quotePrefix="0" xfId="0">
      <alignment horizontal="center"/>
    </xf>
    <xf numFmtId="4" fontId="1" fillId="5" borderId="0" applyAlignment="1" pivotButton="0" quotePrefix="0" xfId="0">
      <alignment horizontal="right"/>
    </xf>
    <xf numFmtId="0" fontId="15" fillId="0" borderId="0" pivotButton="0" quotePrefix="0" xfId="0"/>
    <xf numFmtId="14" fontId="0" fillId="0" borderId="0" pivotButton="0" quotePrefix="0" xfId="0"/>
    <xf numFmtId="0" fontId="0" fillId="0" borderId="0" applyAlignment="1" pivotButton="0" quotePrefix="0" xfId="0">
      <alignment horizontal="center"/>
    </xf>
    <xf numFmtId="165" fontId="6" fillId="0" borderId="0" applyAlignment="1" pivotButton="0" quotePrefix="0" xfId="0">
      <alignment horizontal="center" vertical="top" wrapText="1"/>
    </xf>
    <xf numFmtId="4" fontId="2" fillId="0" borderId="0" applyAlignment="1" pivotButton="0" quotePrefix="0" xfId="0">
      <alignment horizontal="center" vertical="top" wrapText="1"/>
    </xf>
    <xf numFmtId="164" fontId="2" fillId="0" borderId="0" applyAlignment="1" pivotButton="0" quotePrefix="0" xfId="0">
      <alignment horizontal="center" vertical="top" wrapText="1"/>
    </xf>
    <xf numFmtId="4" fontId="3" fillId="5" borderId="6" applyAlignment="1" pivotButton="0" quotePrefix="0" xfId="0">
      <alignment horizontal="center"/>
    </xf>
    <xf numFmtId="3" fontId="2" fillId="0" borderId="0" applyAlignment="1" pivotButton="0" quotePrefix="0" xfId="0">
      <alignment horizontal="center" vertical="top" wrapText="1"/>
    </xf>
    <xf numFmtId="0" fontId="2" fillId="5" borderId="8" applyAlignment="1" pivotButton="0" quotePrefix="0" xfId="0">
      <alignment horizontal="center"/>
    </xf>
    <xf numFmtId="0" fontId="2" fillId="5" borderId="19" applyAlignment="1" pivotButton="0" quotePrefix="0" xfId="0">
      <alignment horizontal="center"/>
    </xf>
    <xf numFmtId="164" fontId="0" fillId="0" borderId="1" pivotButton="0" quotePrefix="0" xfId="0"/>
    <xf numFmtId="168" fontId="0" fillId="0" borderId="1" pivotButton="0" quotePrefix="0" xfId="0"/>
    <xf numFmtId="0" fontId="0" fillId="0" borderId="1" pivotButton="0" quotePrefix="0" xfId="0"/>
    <xf numFmtId="14" fontId="0" fillId="0" borderId="1" pivotButton="0" quotePrefix="0" xfId="0"/>
    <xf numFmtId="14" fontId="3" fillId="0" borderId="0" applyAlignment="1" pivotButton="0" quotePrefix="0" xfId="0">
      <alignment horizontal="right"/>
    </xf>
    <xf numFmtId="0" fontId="3" fillId="2" borderId="3" pivotButton="0" quotePrefix="0" xfId="0"/>
    <xf numFmtId="164" fontId="2" fillId="5" borderId="23" applyAlignment="1" pivotButton="0" quotePrefix="0" xfId="0">
      <alignment horizontal="center"/>
    </xf>
    <xf numFmtId="164" fontId="4" fillId="0" borderId="0" applyAlignment="1" pivotButton="0" quotePrefix="0" xfId="0">
      <alignment horizontal="right"/>
    </xf>
    <xf numFmtId="164" fontId="4" fillId="0" borderId="1" applyAlignment="1" pivotButton="0" quotePrefix="0" xfId="0">
      <alignment horizontal="right"/>
    </xf>
    <xf numFmtId="164" fontId="2" fillId="0" borderId="0" pivotButton="0" quotePrefix="0" xfId="0"/>
    <xf numFmtId="14" fontId="1" fillId="0" borderId="0" pivotButton="0" quotePrefix="0" xfId="0"/>
    <xf numFmtId="14" fontId="1" fillId="0" borderId="1" pivotButton="0" quotePrefix="0" xfId="0"/>
    <xf numFmtId="0" fontId="2" fillId="2" borderId="27" applyAlignment="1" pivotButton="0" quotePrefix="0" xfId="0">
      <alignment horizontal="center"/>
    </xf>
    <xf numFmtId="0" fontId="2" fillId="2" borderId="28" applyAlignment="1" pivotButton="0" quotePrefix="0" xfId="0">
      <alignment horizontal="center"/>
    </xf>
    <xf numFmtId="0" fontId="1" fillId="2" borderId="28" applyAlignment="1" pivotButton="0" quotePrefix="0" xfId="0">
      <alignment horizontal="center"/>
    </xf>
    <xf numFmtId="0" fontId="1" fillId="2" borderId="23" applyAlignment="1" pivotButton="0" quotePrefix="0" xfId="0">
      <alignment horizontal="center"/>
    </xf>
    <xf numFmtId="3" fontId="3" fillId="2" borderId="23" applyAlignment="1" pivotButton="0" quotePrefix="0" xfId="0">
      <alignment horizontal="center"/>
    </xf>
    <xf numFmtId="164" fontId="3" fillId="2" borderId="23" applyAlignment="1" pivotButton="0" quotePrefix="0" xfId="0">
      <alignment horizontal="center"/>
    </xf>
    <xf numFmtId="164" fontId="3" fillId="2" borderId="24" applyAlignment="1" pivotButton="0" quotePrefix="0" xfId="0">
      <alignment horizontal="center"/>
    </xf>
    <xf numFmtId="0" fontId="3" fillId="2" borderId="23" applyAlignment="1" pivotButton="0" quotePrefix="0" xfId="0">
      <alignment horizontal="right"/>
    </xf>
    <xf numFmtId="0" fontId="1" fillId="2" borderId="23" applyAlignment="1" pivotButton="0" quotePrefix="1" xfId="0">
      <alignment horizontal="right"/>
    </xf>
    <xf numFmtId="0" fontId="1" fillId="2" borderId="24" applyAlignment="1" pivotButton="0" quotePrefix="1" xfId="0">
      <alignment horizontal="right"/>
    </xf>
    <xf numFmtId="164" fontId="1" fillId="0" borderId="29" pivotButton="0" quotePrefix="0" xfId="0"/>
    <xf numFmtId="0" fontId="2" fillId="5" borderId="31" pivotButton="0" quotePrefix="0" xfId="0"/>
    <xf numFmtId="0" fontId="1" fillId="5" borderId="32" pivotButton="0" quotePrefix="0" xfId="0"/>
    <xf numFmtId="0" fontId="2" fillId="5" borderId="31" applyAlignment="1" pivotButton="0" quotePrefix="0" xfId="0">
      <alignment horizontal="center"/>
    </xf>
    <xf numFmtId="0" fontId="2" fillId="5" borderId="33" applyAlignment="1" pivotButton="0" quotePrefix="0" xfId="0">
      <alignment horizontal="center"/>
    </xf>
    <xf numFmtId="0" fontId="2" fillId="5" borderId="34" applyAlignment="1" pivotButton="0" quotePrefix="0" xfId="0">
      <alignment horizontal="center"/>
    </xf>
    <xf numFmtId="0" fontId="2" fillId="5" borderId="28" applyAlignment="1" pivotButton="0" quotePrefix="0" xfId="0">
      <alignment horizontal="center"/>
    </xf>
    <xf numFmtId="164" fontId="1" fillId="0" borderId="23" pivotButton="0" quotePrefix="0" xfId="0"/>
    <xf numFmtId="0" fontId="1" fillId="0" borderId="9" pivotButton="0" quotePrefix="0" xfId="0"/>
    <xf numFmtId="0" fontId="2" fillId="0" borderId="9" applyAlignment="1" pivotButton="0" quotePrefix="0" xfId="0">
      <alignment horizontal="right"/>
    </xf>
    <xf numFmtId="164" fontId="2" fillId="0" borderId="27" pivotButton="0" quotePrefix="0" xfId="0"/>
    <xf numFmtId="164" fontId="1" fillId="0" borderId="28" pivotButton="0" quotePrefix="0" xfId="0"/>
    <xf numFmtId="164" fontId="1" fillId="0" borderId="24" pivotButton="0" quotePrefix="0" xfId="0"/>
    <xf numFmtId="0" fontId="2" fillId="0" borderId="28" applyAlignment="1" pivotButton="0" quotePrefix="0" xfId="0">
      <alignment horizontal="center"/>
    </xf>
    <xf numFmtId="0" fontId="1" fillId="0" borderId="16" pivotButton="0" quotePrefix="0" xfId="0"/>
    <xf numFmtId="10" fontId="1" fillId="0" borderId="16" pivotButton="0" quotePrefix="0" xfId="0"/>
    <xf numFmtId="10" fontId="1" fillId="0" borderId="30" pivotButton="0" quotePrefix="0" xfId="0"/>
    <xf numFmtId="164" fontId="1" fillId="0" borderId="31" pivotButton="0" quotePrefix="0" xfId="0"/>
    <xf numFmtId="164" fontId="1" fillId="0" borderId="33" pivotButton="0" quotePrefix="0" xfId="0"/>
    <xf numFmtId="0" fontId="1" fillId="0" borderId="31" pivotButton="0" quotePrefix="0" xfId="0"/>
    <xf numFmtId="0" fontId="1" fillId="0" borderId="32" pivotButton="0" quotePrefix="0" xfId="0"/>
    <xf numFmtId="0" fontId="2" fillId="0" borderId="35" applyAlignment="1" pivotButton="0" quotePrefix="0" xfId="0">
      <alignment horizontal="right"/>
    </xf>
    <xf numFmtId="164" fontId="2" fillId="0" borderId="33" pivotButton="0" quotePrefix="0" xfId="0"/>
    <xf numFmtId="10" fontId="2" fillId="0" borderId="30" applyAlignment="1" pivotButton="0" quotePrefix="0" xfId="0">
      <alignment horizontal="right"/>
    </xf>
    <xf numFmtId="0" fontId="12" fillId="6" borderId="0" applyAlignment="1" pivotButton="0" quotePrefix="0" xfId="0">
      <alignment horizontal="center"/>
    </xf>
    <xf numFmtId="0" fontId="4" fillId="0" borderId="0" pivotButton="0" quotePrefix="0" xfId="0"/>
    <xf numFmtId="169" fontId="3" fillId="0" borderId="0" applyAlignment="1" pivotButton="0" quotePrefix="0" xfId="2">
      <alignment horizontal="right"/>
    </xf>
    <xf numFmtId="169" fontId="3" fillId="0" borderId="1" applyAlignment="1" pivotButton="0" quotePrefix="0" xfId="2">
      <alignment horizontal="right"/>
    </xf>
    <xf numFmtId="165" fontId="3" fillId="0" borderId="0" applyAlignment="1" pivotButton="0" quotePrefix="0" xfId="0">
      <alignment horizontal="right"/>
    </xf>
    <xf numFmtId="0" fontId="17" fillId="0" borderId="0" pivotButton="0" quotePrefix="0" xfId="0"/>
    <xf numFmtId="165" fontId="3" fillId="0" borderId="1" applyAlignment="1" pivotButton="0" quotePrefix="0" xfId="0">
      <alignment horizontal="right"/>
    </xf>
    <xf numFmtId="170" fontId="3" fillId="0" borderId="0" applyAlignment="1" pivotButton="0" quotePrefix="0" xfId="2">
      <alignment horizontal="right"/>
    </xf>
    <xf numFmtId="0" fontId="2" fillId="5" borderId="11" applyAlignment="1" pivotButton="0" quotePrefix="0" xfId="0">
      <alignment horizontal="center"/>
    </xf>
    <xf numFmtId="164" fontId="1" fillId="0" borderId="0" applyAlignment="1" pivotButton="0" quotePrefix="0" xfId="0">
      <alignment horizontal="left"/>
    </xf>
    <xf numFmtId="164" fontId="3" fillId="5" borderId="6" applyAlignment="1" pivotButton="0" quotePrefix="0" xfId="0">
      <alignment horizontal="right"/>
    </xf>
    <xf numFmtId="164" fontId="2" fillId="6" borderId="0" pivotButton="0" quotePrefix="0" xfId="0"/>
    <xf numFmtId="0" fontId="2" fillId="6" borderId="6" pivotButton="0" quotePrefix="1" xfId="0"/>
    <xf numFmtId="0" fontId="2" fillId="6" borderId="0" pivotButton="0" quotePrefix="1" xfId="0"/>
    <xf numFmtId="14" fontId="1" fillId="0" borderId="0" applyAlignment="1" pivotButton="0" quotePrefix="0" xfId="0">
      <alignment horizontal="left"/>
    </xf>
    <xf numFmtId="0" fontId="11" fillId="0" borderId="15" pivotButton="0" quotePrefix="0" xfId="0"/>
    <xf numFmtId="0" fontId="11" fillId="0" borderId="16" pivotButton="0" quotePrefix="0" xfId="0"/>
    <xf numFmtId="0" fontId="11" fillId="0" borderId="5" pivotButton="0" quotePrefix="0" xfId="0"/>
    <xf numFmtId="0" fontId="11" fillId="0" borderId="4" applyAlignment="1" pivotButton="0" quotePrefix="0" xfId="0">
      <alignment horizontal="right"/>
    </xf>
    <xf numFmtId="0" fontId="11" fillId="0" borderId="8" applyAlignment="1" pivotButton="0" quotePrefix="0" xfId="0">
      <alignment horizontal="right"/>
    </xf>
    <xf numFmtId="164" fontId="19" fillId="0" borderId="13" pivotButton="0" quotePrefix="0" xfId="0"/>
    <xf numFmtId="164" fontId="20" fillId="0" borderId="23" pivotButton="0" quotePrefix="0" xfId="0"/>
    <xf numFmtId="0" fontId="2" fillId="0" borderId="0" applyAlignment="1" pivotButton="0" quotePrefix="0" xfId="0">
      <alignment horizontal="center" vertical="top" wrapText="1"/>
    </xf>
    <xf numFmtId="4" fontId="2" fillId="0" borderId="0" applyAlignment="1" pivotButton="0" quotePrefix="0" xfId="0">
      <alignment horizontal="center" vertical="top" wrapText="1"/>
    </xf>
    <xf numFmtId="164" fontId="2" fillId="0" borderId="0" applyAlignment="1" pivotButton="0" quotePrefix="0" xfId="0">
      <alignment horizontal="center" vertical="top" wrapText="1"/>
    </xf>
    <xf numFmtId="165" fontId="4" fillId="3" borderId="0" applyAlignment="1" pivotButton="0" quotePrefix="0" xfId="0">
      <alignment horizontal="center" vertical="top" wrapText="1"/>
    </xf>
    <xf numFmtId="165" fontId="6" fillId="0" borderId="0" applyAlignment="1" pivotButton="0" quotePrefix="0" xfId="0">
      <alignment horizontal="center" vertical="top" wrapText="1"/>
    </xf>
    <xf numFmtId="3" fontId="2" fillId="0" borderId="0" applyAlignment="1" pivotButton="0" quotePrefix="0" xfId="0">
      <alignment horizontal="center" vertical="top" wrapText="1"/>
    </xf>
    <xf numFmtId="0" fontId="6" fillId="0" borderId="0" applyAlignment="1" pivotButton="0" quotePrefix="0" xfId="0">
      <alignment horizontal="center" vertical="top" wrapText="1"/>
    </xf>
    <xf numFmtId="0" fontId="4" fillId="0" borderId="0" applyAlignment="1" pivotButton="0" quotePrefix="0" xfId="0">
      <alignment horizontal="center"/>
    </xf>
    <xf numFmtId="165" fontId="2" fillId="0" borderId="0" applyAlignment="1" pivotButton="0" quotePrefix="0" xfId="0">
      <alignment horizontal="center" vertical="top" wrapText="1"/>
    </xf>
    <xf numFmtId="0" fontId="2" fillId="5" borderId="2" applyAlignment="1" pivotButton="0" quotePrefix="0" xfId="0">
      <alignment horizontal="center"/>
    </xf>
    <xf numFmtId="0" fontId="2" fillId="5" borderId="3" applyAlignment="1" pivotButton="0" quotePrefix="0" xfId="0">
      <alignment horizontal="center"/>
    </xf>
    <xf numFmtId="0" fontId="2" fillId="5" borderId="4" applyAlignment="1" pivotButton="0" quotePrefix="0" xfId="0">
      <alignment horizontal="center"/>
    </xf>
    <xf numFmtId="0" fontId="2" fillId="5" borderId="7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2" fillId="5" borderId="8" applyAlignment="1" pivotButton="0" quotePrefix="0" xfId="0">
      <alignment horizontal="center"/>
    </xf>
    <xf numFmtId="0" fontId="2" fillId="5" borderId="20" applyAlignment="1" pivotButton="0" quotePrefix="0" xfId="0">
      <alignment horizontal="center"/>
    </xf>
    <xf numFmtId="0" fontId="2" fillId="5" borderId="19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2" fillId="2" borderId="9" applyAlignment="1" pivotButton="0" quotePrefix="0" xfId="0">
      <alignment horizontal="center"/>
    </xf>
    <xf numFmtId="0" fontId="2" fillId="2" borderId="10" applyAlignment="1" pivotButton="0" quotePrefix="0" xfId="0">
      <alignment horizontal="center"/>
    </xf>
    <xf numFmtId="0" fontId="2" fillId="0" borderId="0" applyAlignment="1" pivotButton="0" quotePrefix="0" xfId="0">
      <alignment horizontal="center" wrapText="1"/>
    </xf>
    <xf numFmtId="0" fontId="2" fillId="6" borderId="1" applyAlignment="1" pivotButton="0" quotePrefix="0" xfId="0">
      <alignment horizontal="center"/>
    </xf>
    <xf numFmtId="0" fontId="2" fillId="6" borderId="8" applyAlignment="1" pivotButton="0" quotePrefix="0" xfId="0">
      <alignment horizontal="center"/>
    </xf>
    <xf numFmtId="0" fontId="12" fillId="6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0" fillId="0" borderId="10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8" pivotButton="0" quotePrefix="0" xfId="0"/>
    <xf numFmtId="0" fontId="2" fillId="5" borderId="36" applyAlignment="1" pivotButton="0" quotePrefix="0" xfId="0">
      <alignment horizontal="center"/>
    </xf>
    <xf numFmtId="0" fontId="0" fillId="0" borderId="19" pivotButton="0" quotePrefix="0" xfId="0"/>
  </cellXfs>
  <cellStyles count="3">
    <cellStyle name="Normal" xfId="0" builtinId="0"/>
    <cellStyle name="Normal 2" xfId="1"/>
    <cellStyle name="Millares" xfId="2" builtinId="3"/>
  </cellStyles>
  <tableStyles count="0" defaultTableStyle="TableStyleMedium2" defaultPivotStyle="PivotStyleLight16"/>
  <colors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/xl/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worksheet" Target="/xl/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11" Type="http://schemas.openxmlformats.org/officeDocument/2006/relationships/theme" Target="theme/theme1.xml"/><Relationship Id="rId5" Type="http://schemas.openxmlformats.org/officeDocument/2006/relationships/worksheet" Target="/xl/worksheets/sheet5.xml"/><Relationship Id="rId10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worksheet" Target="/xl/worksheets/sheet9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zoomScale="85" zoomScaleNormal="85" workbookViewId="0">
      <selection activeCell="A6" sqref="A6"/>
    </sheetView>
  </sheetViews>
  <sheetFormatPr baseColWidth="10" defaultRowHeight="15"/>
  <sheetData>
    <row r="1" ht="14.25" customFormat="1" customHeight="1" s="1">
      <c r="A1" s="1" t="inlineStr">
        <is>
          <t>NOMBRE DE LA COMUNIDAD</t>
        </is>
      </c>
    </row>
    <row r="2" ht="14.25" customFormat="1" customHeight="1" s="1">
      <c r="A2" s="1" t="inlineStr">
        <is>
          <t>ESTUDIO CALEFACCION Y AGUA CALIENTE SANITARIA</t>
        </is>
      </c>
    </row>
    <row r="3" ht="14.25" customFormat="1" customHeight="1" s="1">
      <c r="A3" s="1" t="n"/>
    </row>
    <row r="4" ht="14.25" customFormat="1" customHeight="1" s="1">
      <c r="A4" s="1" t="n"/>
    </row>
    <row r="5" ht="14.25" customFormat="1" customHeight="1" s="1">
      <c r="A5" s="1" t="n"/>
    </row>
    <row r="6" ht="14.25" customFormat="1" customHeight="1" s="1">
      <c r="A6" s="1" t="n"/>
    </row>
    <row r="7">
      <c r="A7" s="1" t="inlineStr">
        <is>
          <t>Nº de VIVIENDAS:</t>
        </is>
      </c>
      <c r="B7" s="1" t="n"/>
      <c r="C7" s="1" t="n"/>
      <c r="D7" s="1" t="n">
        <v>120</v>
      </c>
    </row>
    <row r="10">
      <c r="A10" t="inlineStr">
        <is>
          <t>EJERCICIOS REGISTRADOS: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Y9"/>
  <sheetViews>
    <sheetView topLeftCell="I31" zoomScale="85" zoomScaleNormal="85" workbookViewId="0">
      <selection activeCell="W55" sqref="W55"/>
    </sheetView>
  </sheetViews>
  <sheetFormatPr baseColWidth="10" defaultColWidth="9.140625" defaultRowHeight="14.25"/>
  <cols>
    <col width="5.5703125" customWidth="1" style="1" min="1" max="1"/>
    <col width="15.7109375" customWidth="1" style="2" min="2" max="2"/>
    <col width="10.28515625" customWidth="1" style="2" min="3" max="3"/>
    <col width="15.7109375" customWidth="1" style="2" min="4" max="4"/>
    <col width="12.7109375" customWidth="1" style="4" min="5" max="5"/>
    <col width="15.7109375" customWidth="1" style="2" min="6" max="6"/>
    <col width="12.7109375" customWidth="1" style="4" min="7" max="8"/>
    <col width="15.7109375" customWidth="1" style="5" min="9" max="9"/>
    <col width="12.7109375" customWidth="1" style="4" min="10" max="11"/>
    <col width="15.7109375" customWidth="1" style="6" min="12" max="12"/>
    <col width="15.7109375" customWidth="1" style="2" min="13" max="13"/>
    <col width="12.7109375" customWidth="1" style="4" min="14" max="14"/>
    <col width="12.7109375" customWidth="1" style="42" min="15" max="18"/>
    <col width="5.7109375" customWidth="1" style="35" min="19" max="19"/>
    <col width="16.85546875" customWidth="1" style="35" min="20" max="21"/>
    <col width="10.140625" customWidth="1" style="35" min="22" max="23"/>
    <col width="12.5703125" bestFit="1" customWidth="1" style="1" min="24" max="24"/>
    <col width="9.7109375" customWidth="1" style="1" min="25" max="25"/>
    <col width="9.140625" customWidth="1" style="1" min="26" max="16384"/>
  </cols>
  <sheetData>
    <row r="1">
      <c r="A1" s="1">
        <f>DATOS!A1</f>
        <v/>
      </c>
    </row>
    <row r="2">
      <c r="A2" s="1" t="inlineStr">
        <is>
          <t>FACTURAS SUMINISTRO GAS NATURAL</t>
        </is>
      </c>
    </row>
    <row r="4">
      <c r="A4" s="1" t="inlineStr">
        <is>
          <t>SUMINISTRO:</t>
        </is>
      </c>
      <c r="C4" s="22" t="inlineStr">
        <is>
          <t/>
        </is>
      </c>
      <c r="F4" s="22" t="n"/>
      <c r="I4" s="4" t="n"/>
      <c r="J4" s="7" t="n"/>
      <c r="K4" s="7" t="n"/>
      <c r="L4" s="5" t="n"/>
      <c r="M4" s="1" t="n"/>
      <c r="N4" s="7" t="n"/>
      <c r="R4" s="35" t="n"/>
    </row>
    <row r="5">
      <c r="A5" s="1" t="inlineStr">
        <is>
          <t xml:space="preserve">CUPS: </t>
        </is>
      </c>
      <c r="C5" s="22" t="inlineStr">
        <is>
          <t/>
        </is>
      </c>
      <c r="F5" s="22" t="n"/>
      <c r="I5" s="4" t="n"/>
      <c r="J5" s="7" t="n"/>
      <c r="K5" s="7" t="n"/>
      <c r="L5" s="5" t="n"/>
      <c r="M5" s="1" t="n"/>
      <c r="N5" s="7" t="n"/>
      <c r="R5" s="35" t="n"/>
    </row>
    <row r="7">
      <c r="X7" s="35" t="n"/>
      <c r="Y7" s="35" t="n"/>
    </row>
    <row r="8" ht="16.5" customFormat="1" customHeight="1" s="13">
      <c r="A8" s="216" t="n"/>
      <c r="B8" s="216" t="inlineStr">
        <is>
          <t>Fecha fra.</t>
        </is>
      </c>
      <c r="C8" s="216" t="inlineStr">
        <is>
          <t>Días</t>
        </is>
      </c>
      <c r="D8" s="216" t="inlineStr">
        <is>
          <t>Fecha inicial</t>
        </is>
      </c>
      <c r="E8" s="221" t="inlineStr">
        <is>
          <t>Lectura inicial</t>
        </is>
      </c>
      <c r="F8" s="216" t="inlineStr">
        <is>
          <t>Fecha final</t>
        </is>
      </c>
      <c r="G8" s="221" t="inlineStr">
        <is>
          <t>Lectura  final</t>
        </is>
      </c>
      <c r="H8" s="221" t="inlineStr">
        <is>
          <t>Consumo (m3)</t>
        </is>
      </c>
      <c r="I8" s="217" t="inlineStr">
        <is>
          <t>Consumo (kWh)</t>
        </is>
      </c>
      <c r="J8" s="216" t="inlineStr">
        <is>
          <t>Término fijo (€ IVA incl.)</t>
        </is>
      </c>
      <c r="K8" s="216" t="inlineStr">
        <is>
          <t>Término variable (€ IVA incl.)</t>
        </is>
      </c>
      <c r="L8" s="218" t="inlineStr">
        <is>
          <t>Importe TOTAL (€ IVA incluido)</t>
        </is>
      </c>
      <c r="M8" s="216" t="inlineStr">
        <is>
          <t>Fecha pago</t>
        </is>
      </c>
      <c r="N8" s="216" t="inlineStr">
        <is>
          <t>Nota</t>
        </is>
      </c>
      <c r="O8" s="220" t="inlineStr">
        <is>
          <t xml:space="preserve">Precio        m3            (IVA incl.) </t>
        </is>
      </c>
      <c r="P8" s="220" t="inlineStr">
        <is>
          <t xml:space="preserve">Precio medio m3 (IVA incl.) </t>
        </is>
      </c>
      <c r="Q8" s="220" t="inlineStr">
        <is>
          <t xml:space="preserve">Precio      kWh                  (IVA incl.) </t>
        </is>
      </c>
      <c r="R8" s="220" t="inlineStr">
        <is>
          <t xml:space="preserve">Precio medio kWh (IVA incl.) </t>
        </is>
      </c>
      <c r="S8" s="222" t="n"/>
      <c r="T8" s="220" t="inlineStr">
        <is>
          <t>CONSUMO INVIERNO (m3)</t>
        </is>
      </c>
      <c r="U8" s="220" t="inlineStr">
        <is>
          <t>CONSUMO VERANO (m3)</t>
        </is>
      </c>
      <c r="V8" s="219" t="inlineStr">
        <is>
          <t>%     ACS</t>
        </is>
      </c>
      <c r="W8" s="219" t="inlineStr">
        <is>
          <t>% CALEF.</t>
        </is>
      </c>
      <c r="X8" s="219" t="inlineStr">
        <is>
          <t>% Tér. Fijo</t>
        </is>
      </c>
      <c r="Y8" s="219" t="inlineStr">
        <is>
          <t>% Tér. Variable</t>
        </is>
      </c>
    </row>
    <row r="9" ht="31.5" customFormat="1" customHeight="1" s="13"/>
    <row r="25" ht="15" customHeight="1"/>
    <row r="53" ht="15" customHeight="1"/>
    <row r="70" ht="15" customHeight="1"/>
    <row r="98" ht="15" customHeight="1"/>
  </sheetData>
  <mergeCells count="25">
    <mergeCell ref="E8:E9"/>
    <mergeCell ref="G8:G9"/>
    <mergeCell ref="Q8:Q9"/>
    <mergeCell ref="B8:B9"/>
    <mergeCell ref="S8:S9"/>
    <mergeCell ref="F8:F9"/>
    <mergeCell ref="L8:L9"/>
    <mergeCell ref="N8:N9"/>
    <mergeCell ref="P8:P9"/>
    <mergeCell ref="T8:T9"/>
    <mergeCell ref="A8:A9"/>
    <mergeCell ref="C8:C9"/>
    <mergeCell ref="I8:I9"/>
    <mergeCell ref="U8:U9"/>
    <mergeCell ref="K8:K9"/>
    <mergeCell ref="W8:W9"/>
    <mergeCell ref="M8:M9"/>
    <mergeCell ref="O8:O9"/>
    <mergeCell ref="D8:D9"/>
    <mergeCell ref="Y8:Y9"/>
    <mergeCell ref="H8:H9"/>
    <mergeCell ref="J8:J9"/>
    <mergeCell ref="V8:V9"/>
    <mergeCell ref="R8:R9"/>
    <mergeCell ref="X8:X9"/>
  </mergeCells>
  <pageMargins left="0.7" right="0.7" top="0.75" bottom="0.75" header="0.3" footer="0.3"/>
  <pageSetup orientation="landscape" paperSize="9" scale="49" fitToHeight="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S38"/>
  <sheetViews>
    <sheetView topLeftCell="B10" zoomScale="85" zoomScaleNormal="85" workbookViewId="0">
      <selection activeCell="C12" sqref="C12"/>
    </sheetView>
  </sheetViews>
  <sheetFormatPr baseColWidth="10" defaultColWidth="9.140625" defaultRowHeight="14.25"/>
  <cols>
    <col width="5.5703125" customWidth="1" style="1" min="1" max="1"/>
    <col width="15.7109375" customWidth="1" style="2" min="2" max="3"/>
    <col width="12.7109375" customWidth="1" style="4" min="4" max="4"/>
    <col width="15.7109375" customWidth="1" style="2" min="5" max="5"/>
    <col width="12.7109375" customWidth="1" style="4" min="6" max="7"/>
    <col width="15.7109375" customWidth="1" style="4" min="8" max="8"/>
    <col width="12.7109375" customWidth="1" style="4" min="9" max="10"/>
    <col width="5.7109375" customWidth="1" style="5" min="11" max="11"/>
    <col width="14.7109375" customWidth="1" style="35" min="12" max="12"/>
    <col width="14.7109375" customWidth="1" style="42" min="13" max="13"/>
    <col width="18.7109375" customWidth="1" style="35" min="14" max="15"/>
    <col width="10.140625" customWidth="1" style="35" min="16" max="17"/>
    <col width="12.7109375" customWidth="1" style="7" min="18" max="20"/>
    <col width="9.85546875" customWidth="1" style="1" min="21" max="21"/>
    <col width="9.140625" customWidth="1" style="1" min="22" max="16384"/>
  </cols>
  <sheetData>
    <row r="1">
      <c r="A1" s="1">
        <f>DATOS!A1</f>
        <v/>
      </c>
    </row>
    <row r="2">
      <c r="A2" s="1" t="inlineStr">
        <is>
          <t>FACTURAS SUMINISTRO ELECTRICIDAD</t>
        </is>
      </c>
    </row>
    <row r="3">
      <c r="A3" s="1" t="inlineStr">
        <is>
          <t>ENDESA ENERGIA</t>
        </is>
      </c>
    </row>
    <row r="4">
      <c r="A4" s="1" t="inlineStr">
        <is>
          <t>SUMINISTRO:</t>
        </is>
      </c>
      <c r="C4" s="22" t="inlineStr">
        <is>
          <t/>
        </is>
      </c>
      <c r="F4" s="7" t="n"/>
      <c r="G4" s="7" t="n"/>
    </row>
    <row r="5">
      <c r="A5" s="1" t="inlineStr">
        <is>
          <t>CUPS:</t>
        </is>
      </c>
      <c r="C5" s="22" t="inlineStr">
        <is>
          <t/>
        </is>
      </c>
      <c r="F5" s="7" t="n"/>
      <c r="G5" s="7" t="n"/>
    </row>
    <row r="8" ht="16.5" customFormat="1" customHeight="1" s="13">
      <c r="A8" s="216" t="n"/>
      <c r="B8" s="216" t="inlineStr">
        <is>
          <t>Fecha fra.</t>
        </is>
      </c>
      <c r="C8" s="216" t="inlineStr">
        <is>
          <t>Fecha inicial</t>
        </is>
      </c>
      <c r="D8" s="216" t="inlineStr">
        <is>
          <t>Fecha final</t>
        </is>
      </c>
      <c r="E8" s="217" t="inlineStr">
        <is>
          <t>Consumo (kWh)</t>
        </is>
      </c>
      <c r="F8" s="216" t="inlineStr">
        <is>
          <t>Término fijo (€)</t>
        </is>
      </c>
      <c r="G8" s="216" t="inlineStr">
        <is>
          <t>Término variable (€)</t>
        </is>
      </c>
      <c r="H8" s="218" t="inlineStr">
        <is>
          <t>Importe TOTAL (IVA incluido)</t>
        </is>
      </c>
      <c r="I8" s="216" t="inlineStr">
        <is>
          <t>Fecha pago</t>
        </is>
      </c>
      <c r="J8" s="216" t="inlineStr">
        <is>
          <t>Nota</t>
        </is>
      </c>
      <c r="K8" s="216" t="n"/>
      <c r="L8" s="220" t="inlineStr">
        <is>
          <t>Precio         kWh (IVA incl.)</t>
        </is>
      </c>
      <c r="M8" s="220" t="inlineStr">
        <is>
          <t>Precio medio kWh (IVA incl.)</t>
        </is>
      </c>
      <c r="N8" s="220" t="inlineStr">
        <is>
          <t>CONSUMO INVIERNO (kWh)</t>
        </is>
      </c>
      <c r="O8" s="220" t="inlineStr">
        <is>
          <t>CONSUMO VERANO (kWh)</t>
        </is>
      </c>
      <c r="P8" s="219" t="inlineStr">
        <is>
          <t>%     ACS</t>
        </is>
      </c>
      <c r="Q8" s="219" t="inlineStr">
        <is>
          <t>% CALEF.</t>
        </is>
      </c>
      <c r="R8" s="219" t="inlineStr">
        <is>
          <t>% Tér. Fijo</t>
        </is>
      </c>
      <c r="S8" s="219" t="inlineStr">
        <is>
          <t>% Tér. Variable</t>
        </is>
      </c>
    </row>
    <row r="9" ht="16.5" customFormat="1" customHeight="1" s="13"/>
    <row r="10" ht="16.5" customFormat="1" customHeight="1" s="13"/>
    <row r="11" ht="16.5" customFormat="1" customHeight="1" s="13"/>
    <row r="12" ht="16.5" customFormat="1" customHeight="1" s="13"/>
    <row r="13" ht="16.5" customFormat="1" customHeight="1" s="13"/>
    <row r="14" ht="16.5" customFormat="1" customHeight="1" s="13"/>
    <row r="15" ht="15" customHeight="1"/>
    <row r="16" ht="16.5" customFormat="1" customHeight="1" s="13"/>
    <row r="17" ht="16.5" customFormat="1" customHeight="1" s="13"/>
    <row r="18" ht="16.5" customFormat="1" customHeight="1" s="13"/>
    <row r="19" ht="16.5" customFormat="1" customHeight="1" s="13"/>
    <row r="20" ht="16.5" customFormat="1" customHeight="1" s="13"/>
    <row r="21" ht="16.5" customFormat="1" customHeight="1" s="13"/>
    <row r="22" ht="15" customHeight="1"/>
    <row r="23" ht="16.5" customFormat="1" customHeight="1" s="13"/>
    <row r="24" ht="16.5" customFormat="1" customHeight="1" s="13"/>
    <row r="25" ht="16.5" customFormat="1" customHeight="1" s="13"/>
    <row r="26" ht="16.5" customFormat="1" customHeight="1" s="13"/>
    <row r="27" ht="16.5" customFormat="1" customHeight="1" s="13"/>
    <row r="28" ht="16.5" customFormat="1" customHeight="1" s="13"/>
    <row r="29" ht="16.5" customFormat="1" customHeight="1" s="13"/>
    <row r="30" ht="16.5" customFormat="1" customHeight="1" s="13"/>
    <row r="31" ht="16.5" customFormat="1" customHeight="1" s="13"/>
    <row r="32" ht="16.5" customFormat="1" customHeight="1" s="13"/>
    <row r="33" ht="16.5" customFormat="1" customHeight="1" s="13"/>
    <row r="34" ht="16.5" customFormat="1" customHeight="1" s="13"/>
    <row r="35" ht="16.5" customFormat="1" customHeight="1" s="13"/>
    <row r="36" ht="15" customHeight="1"/>
    <row r="37" ht="15" customHeight="1"/>
    <row r="38" ht="15" customHeight="1"/>
    <row r="53" ht="15" customHeight="1"/>
    <row r="54" ht="15" customHeight="1"/>
    <row r="55" ht="15" customHeight="1"/>
    <row r="56" ht="15" customHeight="1"/>
    <row r="59" customFormat="1" s="8"/>
    <row r="60" customFormat="1" s="8"/>
    <row r="68" customFormat="1" s="8"/>
    <row r="69" customFormat="1" s="8"/>
    <row r="77" customFormat="1" s="8"/>
    <row r="78" customFormat="1" s="8"/>
    <row r="86" customFormat="1" s="8"/>
    <row r="87" customFormat="1" s="8"/>
    <row r="95" customFormat="1" s="8"/>
    <row r="96" customFormat="1" s="8"/>
    <row r="104" customFormat="1" s="8"/>
    <row r="105" customFormat="1" s="8"/>
    <row r="113" customFormat="1" s="8"/>
    <row r="114" customFormat="1" s="8"/>
    <row r="122" customFormat="1" s="8"/>
    <row r="123" customFormat="1" s="8"/>
    <row r="131" customFormat="1" s="8"/>
    <row r="132" customFormat="1" s="8"/>
    <row r="140" customFormat="1" s="8"/>
    <row r="141" customFormat="1" s="8"/>
    <row r="149" customFormat="1" s="8"/>
    <row r="150" customFormat="1" s="8"/>
    <row r="158" customFormat="1" s="8"/>
    <row r="159" customFormat="1" s="8"/>
    <row r="167" customFormat="1" s="8"/>
    <row r="168" customFormat="1" s="8"/>
    <row r="176" customFormat="1" s="8"/>
    <row r="177" customFormat="1" s="8"/>
    <row r="185" customFormat="1" s="8"/>
    <row r="186" customFormat="1" s="8"/>
    <row r="194" customFormat="1" s="8"/>
    <row r="195" customFormat="1" s="8"/>
    <row r="203" customFormat="1" s="8"/>
    <row r="204" customFormat="1" s="8"/>
    <row r="212" customFormat="1" s="8"/>
    <row r="213" customFormat="1" s="8"/>
    <row r="221" customFormat="1" s="8"/>
    <row r="222" customFormat="1" s="8"/>
    <row r="230" customFormat="1" s="8"/>
    <row r="231" customFormat="1" s="8"/>
    <row r="239" customFormat="1" s="8"/>
    <row r="240" customFormat="1" s="8"/>
    <row r="248" customFormat="1" s="8"/>
    <row r="249" customFormat="1" s="8"/>
    <row r="257" customFormat="1" s="8"/>
    <row r="258" customFormat="1" s="8"/>
    <row r="266" customFormat="1" s="8"/>
    <row r="267" customFormat="1" s="8"/>
  </sheetData>
  <mergeCells count="20">
    <mergeCell ref="E8:E9"/>
    <mergeCell ref="G8:G9"/>
    <mergeCell ref="P38:Q38"/>
    <mergeCell ref="Q8:Q9"/>
    <mergeCell ref="S8:S9"/>
    <mergeCell ref="B8:B9"/>
    <mergeCell ref="F8:F9"/>
    <mergeCell ref="L8:L9"/>
    <mergeCell ref="N8:N9"/>
    <mergeCell ref="P8:P9"/>
    <mergeCell ref="A8:A9"/>
    <mergeCell ref="C8:C9"/>
    <mergeCell ref="I8:I9"/>
    <mergeCell ref="K8:K9"/>
    <mergeCell ref="M8:M9"/>
    <mergeCell ref="O8:O9"/>
    <mergeCell ref="D8:D9"/>
    <mergeCell ref="H8:H9"/>
    <mergeCell ref="J8:J9"/>
    <mergeCell ref="R8:R9"/>
  </mergeCells>
  <pageMargins left="0.7" right="0.7" top="0.75" bottom="0.75" header="0.3" footer="0.3"/>
  <pageSetup orientation="landscape" paperSize="9" scale="52" fitToHeight="0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W13"/>
  <sheetViews>
    <sheetView topLeftCell="F28" zoomScale="85" zoomScaleNormal="85" workbookViewId="0">
      <selection activeCell="O46" sqref="O46:O57"/>
    </sheetView>
  </sheetViews>
  <sheetFormatPr baseColWidth="10" defaultColWidth="9.140625" defaultRowHeight="14.25"/>
  <cols>
    <col width="5.5703125" customWidth="1" style="1" min="1" max="1"/>
    <col width="15.7109375" customWidth="1" style="2" min="2" max="3"/>
    <col width="15.7109375" customWidth="1" style="4" min="4" max="4"/>
    <col width="12.7109375" customWidth="1" style="4" min="5" max="5"/>
    <col width="15.7109375" customWidth="1" style="4" min="6" max="6"/>
    <col width="12.7109375" customWidth="1" style="2" min="7" max="7"/>
    <col width="8" bestFit="1" customWidth="1" style="5" min="8" max="8"/>
    <col width="9.7109375" customWidth="1" style="6" min="9" max="9"/>
    <col width="8" bestFit="1" customWidth="1" style="2" min="10" max="10"/>
    <col width="12.7109375" customWidth="1" style="4" min="11" max="11"/>
    <col width="12.7109375" customWidth="1" style="7" min="12" max="16"/>
    <col width="12.7109375" customWidth="1" style="1" min="17" max="18"/>
    <col width="4.7109375" customWidth="1" style="1" min="19" max="19"/>
    <col width="15" customWidth="1" style="1" min="20" max="20"/>
    <col width="9.140625" customWidth="1" style="1" min="21" max="21"/>
    <col width="12.7109375" customWidth="1" style="1" min="22" max="23"/>
    <col width="9.140625" customWidth="1" style="1" min="24" max="16384"/>
  </cols>
  <sheetData>
    <row r="1">
      <c r="A1" s="1">
        <f>DATOS!A1</f>
        <v/>
      </c>
    </row>
    <row r="2">
      <c r="A2" s="1" t="inlineStr">
        <is>
          <t>FACTURAS SUMINISTRO AGUA</t>
        </is>
      </c>
    </row>
    <row r="3">
      <c r="A3" s="1" t="inlineStr">
        <is>
          <t>SUMINISTRO DE AGUA</t>
        </is>
      </c>
    </row>
    <row r="4">
      <c r="A4" s="1" t="inlineStr">
        <is>
          <t>SUMINISTRO:</t>
        </is>
      </c>
      <c r="C4" s="22" t="n"/>
      <c r="H4" s="4" t="n"/>
      <c r="I4" s="5" t="n"/>
      <c r="J4" s="1" t="n"/>
      <c r="K4" s="7" t="n"/>
      <c r="P4" s="1" t="n"/>
    </row>
    <row r="5">
      <c r="C5" s="22" t="n"/>
      <c r="H5" s="4" t="n"/>
      <c r="I5" s="5" t="n"/>
      <c r="J5" s="1" t="n"/>
      <c r="K5" s="7" t="n"/>
      <c r="P5" s="1" t="n"/>
    </row>
    <row r="8" ht="16.5" customFormat="1" customHeight="1" s="13">
      <c r="A8" s="216" t="n"/>
      <c r="B8" s="216" t="inlineStr">
        <is>
          <t>Fecha fra.</t>
        </is>
      </c>
      <c r="C8" s="216" t="inlineStr">
        <is>
          <t>Periodo</t>
        </is>
      </c>
      <c r="D8" s="216" t="inlineStr">
        <is>
          <t>Fecha inicial</t>
        </is>
      </c>
      <c r="E8" s="221" t="inlineStr">
        <is>
          <t>Lectura inicial</t>
        </is>
      </c>
      <c r="F8" s="216" t="inlineStr">
        <is>
          <t>Fecha final</t>
        </is>
      </c>
      <c r="G8" s="221" t="inlineStr">
        <is>
          <t>Lectura  final</t>
        </is>
      </c>
      <c r="H8" s="221" t="inlineStr">
        <is>
          <t>Consumo (m3)</t>
        </is>
      </c>
      <c r="K8" s="216" t="inlineStr">
        <is>
          <t>AYUNTAMIENTO (ABASTECIMIENTO)</t>
        </is>
      </c>
      <c r="O8" s="216" t="inlineStr">
        <is>
          <t>ECOCIUDAD (SANEAMIENTO)</t>
        </is>
      </c>
      <c r="S8" s="216" t="n"/>
      <c r="T8" s="224" t="inlineStr">
        <is>
          <t>TOTAL          (IVA incl.)</t>
        </is>
      </c>
      <c r="U8" s="216" t="n"/>
      <c r="V8" s="216" t="inlineStr">
        <is>
          <t>C. Variable (IVA incl.)</t>
        </is>
      </c>
      <c r="W8" s="224" t="inlineStr">
        <is>
          <t>C. Fija (IVA incl.)</t>
        </is>
      </c>
    </row>
    <row r="9" ht="16.5" customFormat="1" customHeight="1" s="13">
      <c r="H9" s="25" t="n">
        <v>0.21</v>
      </c>
      <c r="I9" s="25" t="n">
        <v>0.503</v>
      </c>
      <c r="J9" s="25" t="n">
        <v>1.258</v>
      </c>
      <c r="K9" s="216" t="inlineStr">
        <is>
          <t>Variable</t>
        </is>
      </c>
      <c r="L9" s="216" t="inlineStr">
        <is>
          <t>Fijo</t>
        </is>
      </c>
      <c r="M9" s="224" t="inlineStr">
        <is>
          <t>SUMA</t>
        </is>
      </c>
      <c r="N9" s="224" t="inlineStr">
        <is>
          <t>TOTAL (IVA incl.)</t>
        </is>
      </c>
      <c r="O9" s="216" t="inlineStr">
        <is>
          <t>Variable</t>
        </is>
      </c>
      <c r="P9" s="216" t="inlineStr">
        <is>
          <t>Fijo</t>
        </is>
      </c>
      <c r="Q9" s="224" t="inlineStr">
        <is>
          <t>SUMA</t>
        </is>
      </c>
      <c r="R9" s="224" t="inlineStr">
        <is>
          <t>TOTAL (IVA incl.)</t>
        </is>
      </c>
    </row>
    <row r="10" ht="16.5" customFormat="1" customHeight="1" s="13">
      <c r="A10" s="216" t="n"/>
      <c r="B10" s="216" t="n"/>
      <c r="C10" s="216" t="n"/>
      <c r="D10" s="216" t="n"/>
      <c r="E10" s="221" t="n"/>
      <c r="F10" s="216" t="n"/>
      <c r="G10" s="221" t="n"/>
      <c r="H10" s="25" t="n"/>
      <c r="I10" s="25" t="n"/>
      <c r="J10" s="25" t="n"/>
      <c r="K10" s="216" t="n"/>
      <c r="L10" s="216" t="n"/>
      <c r="M10" s="224" t="n"/>
      <c r="N10" s="224" t="n"/>
      <c r="O10" s="216" t="n"/>
      <c r="P10" s="216" t="n"/>
      <c r="Q10" s="224" t="n"/>
      <c r="R10" s="224" t="n"/>
      <c r="S10" s="216" t="n"/>
      <c r="T10" s="224" t="n"/>
      <c r="U10" s="216" t="n"/>
      <c r="V10" s="216" t="n"/>
      <c r="W10" s="224" t="n"/>
    </row>
    <row r="11" ht="16.5" customFormat="1" customHeight="1" s="13">
      <c r="A11" s="1" t="inlineStr">
        <is>
          <t>2020-2021</t>
        </is>
      </c>
      <c r="B11" s="216" t="n"/>
      <c r="C11" s="216" t="n"/>
      <c r="D11" s="216" t="n"/>
      <c r="E11" s="221" t="n"/>
      <c r="F11" s="216" t="n"/>
      <c r="G11" s="221" t="n"/>
      <c r="H11" s="25" t="n"/>
      <c r="I11" s="25" t="n"/>
      <c r="J11" s="25" t="n"/>
      <c r="K11" s="216" t="n"/>
      <c r="L11" s="216" t="n"/>
      <c r="M11" s="224" t="n"/>
      <c r="N11" s="224" t="n"/>
      <c r="O11" s="216" t="n"/>
      <c r="P11" s="216" t="n"/>
      <c r="Q11" s="224" t="n"/>
      <c r="R11" s="224" t="n"/>
      <c r="S11" s="216" t="n"/>
      <c r="T11" s="224" t="n"/>
      <c r="U11" s="216" t="n"/>
      <c r="V11" s="216" t="n"/>
      <c r="W11" s="224" t="n"/>
    </row>
    <row r="12" ht="15" customHeight="1">
      <c r="B12" s="3" t="n">
        <v>44127</v>
      </c>
      <c r="C12" s="26" t="inlineStr">
        <is>
          <t>ago-sep-20</t>
        </is>
      </c>
      <c r="D12" s="3" t="n">
        <v>44069</v>
      </c>
      <c r="F12" s="3" t="n">
        <v>44098</v>
      </c>
      <c r="G12" s="4" t="n"/>
      <c r="H12" s="10" t="n"/>
      <c r="I12" s="4" t="n"/>
      <c r="J12" s="4" t="n"/>
      <c r="K12" s="28" t="n"/>
      <c r="L12" s="28" t="n"/>
      <c r="M12" s="28" t="n"/>
      <c r="N12" s="155" t="n">
        <v>150.68</v>
      </c>
      <c r="O12" s="28" t="n"/>
      <c r="P12" s="28" t="n"/>
      <c r="Q12" s="28" t="n"/>
      <c r="R12" s="155" t="n">
        <v>147.96</v>
      </c>
      <c r="S12" s="28" t="n"/>
      <c r="T12" s="155">
        <f>N12+R12</f>
        <v/>
      </c>
      <c r="U12" s="29" t="n"/>
      <c r="V12" s="30" t="n"/>
      <c r="W12" s="30" t="n"/>
    </row>
    <row r="13" ht="15" customHeight="1">
      <c r="B13" s="3" t="n">
        <v>44158</v>
      </c>
      <c r="C13" s="26" t="inlineStr">
        <is>
          <t>sep-oct-20</t>
        </is>
      </c>
      <c r="D13" s="3">
        <f>F12</f>
        <v/>
      </c>
      <c r="F13" s="3" t="n">
        <v>44132</v>
      </c>
      <c r="G13" s="4" t="n"/>
      <c r="H13" s="10" t="n"/>
      <c r="I13" s="4" t="n"/>
      <c r="J13" s="4" t="n"/>
      <c r="K13" s="28" t="n"/>
      <c r="L13" s="28" t="n"/>
      <c r="M13" s="28" t="n"/>
      <c r="N13" s="155" t="n">
        <v>154.07</v>
      </c>
      <c r="O13" s="28" t="n"/>
      <c r="P13" s="28" t="n"/>
      <c r="Q13" s="28" t="n"/>
      <c r="R13" s="155" t="n">
        <v>145.06</v>
      </c>
      <c r="S13" s="28" t="n"/>
      <c r="T13" s="155">
        <f>N13+R13</f>
        <v/>
      </c>
      <c r="U13" s="29" t="n"/>
      <c r="V13" s="30" t="n"/>
      <c r="W13" s="30" t="n"/>
    </row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</sheetData>
  <mergeCells count="15">
    <mergeCell ref="A8:A9"/>
    <mergeCell ref="E8:E9"/>
    <mergeCell ref="C8:C9"/>
    <mergeCell ref="G8:G9"/>
    <mergeCell ref="U8:U9"/>
    <mergeCell ref="O8:R8"/>
    <mergeCell ref="F8:F9"/>
    <mergeCell ref="W8:W9"/>
    <mergeCell ref="V8:V9"/>
    <mergeCell ref="H8:J8"/>
    <mergeCell ref="D8:D9"/>
    <mergeCell ref="S8:S9"/>
    <mergeCell ref="B8:B9"/>
    <mergeCell ref="K8:N8"/>
    <mergeCell ref="T8:T9"/>
  </mergeCells>
  <pageMargins left="0.7" right="0.7" top="0.75" bottom="0.75" header="0.3" footer="0.3"/>
  <pageSetup orientation="landscape" paperSize="9" scale="46" fitToHeight="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topLeftCell="C16" zoomScale="85" zoomScaleNormal="85" workbookViewId="0">
      <selection activeCell="K68" sqref="K68"/>
    </sheetView>
  </sheetViews>
  <sheetFormatPr baseColWidth="10" defaultRowHeight="15"/>
  <cols>
    <col width="53.42578125" customWidth="1" min="1" max="1"/>
    <col width="16.28515625" customWidth="1" min="4" max="4"/>
    <col width="62.85546875" bestFit="1" customWidth="1" min="5" max="5"/>
    <col width="15" bestFit="1" customWidth="1" min="7" max="7"/>
  </cols>
  <sheetData>
    <row r="1">
      <c r="A1" s="1">
        <f>DATOS!A1</f>
        <v/>
      </c>
    </row>
    <row r="2">
      <c r="A2" s="1" t="inlineStr">
        <is>
          <t>OTROS GASTOS</t>
        </is>
      </c>
    </row>
    <row r="3">
      <c r="A3" s="1" t="inlineStr">
        <is>
          <t>Nº de VIVIENDAS:</t>
        </is>
      </c>
      <c r="B3">
        <f>DATOS!D7</f>
        <v/>
      </c>
    </row>
    <row r="5">
      <c r="B5" s="140" t="inlineStr">
        <is>
          <t>€/MES</t>
        </is>
      </c>
      <c r="F5" t="inlineStr">
        <is>
          <t>2020-2021</t>
        </is>
      </c>
      <c r="G5" t="inlineStr">
        <is>
          <t>2021-2022</t>
        </is>
      </c>
      <c r="H5" s="140" t="inlineStr">
        <is>
          <t>2022-2023</t>
        </is>
      </c>
      <c r="I5" s="140" t="inlineStr">
        <is>
          <t>2023-2024</t>
        </is>
      </c>
    </row>
    <row r="6">
      <c r="A6" s="44" t="inlineStr">
        <is>
          <t>LECTURAS CONTADORES ACS</t>
        </is>
      </c>
      <c r="B6" s="45" t="n"/>
      <c r="F6" s="45" t="n"/>
      <c r="G6" s="45" t="n"/>
      <c r="H6" s="45" t="n"/>
      <c r="I6" s="45" t="n"/>
    </row>
    <row r="7">
      <c r="A7" t="inlineStr">
        <is>
          <t>LECTURAS CONTADORES CALEF</t>
        </is>
      </c>
    </row>
    <row r="8">
      <c r="A8" t="inlineStr">
        <is>
          <t>MANTENIMIENTO PLACAS SOLARES</t>
        </is>
      </c>
    </row>
    <row r="9">
      <c r="A9" t="inlineStr">
        <is>
          <t>MANTENIMIENTO SALA CALDERAS</t>
        </is>
      </c>
    </row>
    <row r="11">
      <c r="A11" t="inlineStr">
        <is>
          <t>MANTENIMIENTO CORRECTIVO (REPARACIONES)</t>
        </is>
      </c>
    </row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1" ht="15" customHeight="1"/>
    <row r="72" ht="15" customHeight="1"/>
    <row r="74" ht="15" customHeight="1"/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7"/>
  <sheetViews>
    <sheetView topLeftCell="A35" zoomScale="85" zoomScaleNormal="85" workbookViewId="0">
      <selection activeCell="F35" sqref="F35"/>
    </sheetView>
  </sheetViews>
  <sheetFormatPr baseColWidth="10" defaultRowHeight="15"/>
  <cols>
    <col width="11.42578125" customWidth="1" style="1" min="1" max="1"/>
    <col width="15.7109375" customWidth="1" style="1" min="2" max="3"/>
    <col width="12.7109375" customWidth="1" style="29" min="4" max="4"/>
    <col width="15.7109375" customWidth="1" style="1" min="5" max="5"/>
    <col width="12.7109375" customWidth="1" style="29" min="6" max="7"/>
    <col width="15.7109375" customWidth="1" style="29" min="8" max="10"/>
    <col width="5.7109375" customWidth="1" style="1" min="11" max="11"/>
    <col width="15.7109375" customWidth="1" min="12" max="13"/>
    <col width="7.85546875" customWidth="1" min="14" max="14"/>
    <col width="11.42578125" customWidth="1" style="1" min="15" max="16384"/>
  </cols>
  <sheetData>
    <row r="1">
      <c r="A1" s="1">
        <f>DATOS!A1</f>
        <v/>
      </c>
    </row>
    <row r="2">
      <c r="A2" s="1" t="inlineStr">
        <is>
          <t>CONSUMO ACS</t>
        </is>
      </c>
    </row>
    <row r="3">
      <c r="A3" s="1" t="inlineStr">
        <is>
          <t>LECTURAS ACS</t>
        </is>
      </c>
    </row>
    <row r="4">
      <c r="A4" s="1" t="inlineStr">
        <is>
          <t>Nº DE VIVIENDAS</t>
        </is>
      </c>
      <c r="C4">
        <f>DATOS!D7</f>
        <v/>
      </c>
      <c r="D4" s="47" t="n"/>
      <c r="F4" s="47" t="n"/>
      <c r="G4" s="47" t="n"/>
    </row>
    <row r="5">
      <c r="N5" s="1" t="n"/>
    </row>
    <row r="6" ht="16.5" customFormat="1" customHeight="1" s="13">
      <c r="A6" s="216" t="n"/>
      <c r="B6" s="216" t="inlineStr">
        <is>
          <t>Fecha</t>
        </is>
      </c>
      <c r="C6" s="216" t="inlineStr">
        <is>
          <t>Fecha inicial</t>
        </is>
      </c>
      <c r="D6" s="216" t="inlineStr">
        <is>
          <t>Lectura inicial (m3)</t>
        </is>
      </c>
      <c r="E6" s="216" t="inlineStr">
        <is>
          <t>Fecha final</t>
        </is>
      </c>
      <c r="F6" s="216" t="inlineStr">
        <is>
          <t>Lectura final (m3)</t>
        </is>
      </c>
      <c r="G6" s="217" t="inlineStr">
        <is>
          <t>Consumo  (m3)</t>
        </is>
      </c>
      <c r="H6" s="218" t="inlineStr">
        <is>
          <t>Cuota variable</t>
        </is>
      </c>
      <c r="I6" s="216" t="inlineStr">
        <is>
          <t>Cuota fija</t>
        </is>
      </c>
      <c r="J6" s="216" t="inlineStr">
        <is>
          <t>TOTAL</t>
        </is>
      </c>
      <c r="K6" s="216" t="n"/>
      <c r="L6" s="218" t="inlineStr">
        <is>
          <t>Cuota variable unitario (€/m3)</t>
        </is>
      </c>
      <c r="M6" s="216" t="inlineStr">
        <is>
          <t>Cuota fija unitario (€/Viv.)</t>
        </is>
      </c>
    </row>
    <row r="7" ht="32.25" customFormat="1" customHeight="1" s="13"/>
    <row r="61" ht="15.75" customHeight="1"/>
    <row r="62" ht="15.7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</sheetData>
  <mergeCells count="13">
    <mergeCell ref="H6:H7"/>
    <mergeCell ref="G6:G7"/>
    <mergeCell ref="L6:L7"/>
    <mergeCell ref="M6:M7"/>
    <mergeCell ref="I6:I7"/>
    <mergeCell ref="E6:E7"/>
    <mergeCell ref="C6:C7"/>
    <mergeCell ref="A6:A7"/>
    <mergeCell ref="J6:J7"/>
    <mergeCell ref="D6:D7"/>
    <mergeCell ref="B6:B7"/>
    <mergeCell ref="K6:K7"/>
    <mergeCell ref="F6:F7"/>
  </mergeCells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7"/>
  <sheetViews>
    <sheetView topLeftCell="A4" zoomScale="80" zoomScaleNormal="80" workbookViewId="0">
      <selection activeCell="H87" sqref="H87"/>
    </sheetView>
  </sheetViews>
  <sheetFormatPr baseColWidth="10" defaultRowHeight="15"/>
  <cols>
    <col width="15.7109375" customWidth="1" min="2" max="3"/>
    <col width="15.7109375" customWidth="1" style="47" min="4" max="4"/>
    <col width="15.7109375" customWidth="1" min="5" max="5"/>
    <col width="15.7109375" customWidth="1" style="47" min="6" max="7"/>
    <col width="15.7109375" customWidth="1" min="8" max="9"/>
    <col width="15.7109375" customWidth="1" style="199" min="10" max="10"/>
    <col width="9.28515625" customWidth="1" min="11" max="11"/>
    <col width="15.7109375" customWidth="1" min="12" max="13"/>
    <col width="4.5703125" customWidth="1" min="14" max="14"/>
  </cols>
  <sheetData>
    <row r="1">
      <c r="A1" s="1">
        <f>DATOS!A1</f>
        <v/>
      </c>
    </row>
    <row r="2">
      <c r="A2" s="1" t="inlineStr">
        <is>
          <t>CONSUMO CALEFACCION</t>
        </is>
      </c>
    </row>
    <row r="3">
      <c r="A3" s="1" t="inlineStr">
        <is>
          <t xml:space="preserve">LECTURAS CALEFACCION </t>
        </is>
      </c>
    </row>
    <row r="4">
      <c r="A4" s="1" t="inlineStr">
        <is>
          <t>Nº DE VIVIENDAS</t>
        </is>
      </c>
      <c r="C4">
        <f>DATOS!D7</f>
        <v/>
      </c>
    </row>
    <row r="6" ht="16.5" customFormat="1" customHeight="1" s="13">
      <c r="A6" s="216" t="n"/>
      <c r="B6" s="216" t="inlineStr">
        <is>
          <t>Fecha</t>
        </is>
      </c>
      <c r="C6" s="216" t="inlineStr">
        <is>
          <t>Fecha inicial</t>
        </is>
      </c>
      <c r="D6" s="216" t="inlineStr">
        <is>
          <t>Lectura inicial (kWh)</t>
        </is>
      </c>
      <c r="E6" s="216" t="inlineStr">
        <is>
          <t>Fecha final</t>
        </is>
      </c>
      <c r="F6" s="216" t="inlineStr">
        <is>
          <t>Lectura final (kWh)</t>
        </is>
      </c>
      <c r="G6" s="217" t="inlineStr">
        <is>
          <t>Consumo  (kWh)</t>
        </is>
      </c>
      <c r="H6" s="218" t="inlineStr">
        <is>
          <t>Cuota variable</t>
        </is>
      </c>
      <c r="I6" s="216" t="inlineStr">
        <is>
          <t>Cuota fija</t>
        </is>
      </c>
      <c r="J6" s="216" t="inlineStr">
        <is>
          <t>TOTAL</t>
        </is>
      </c>
      <c r="K6" s="216" t="n"/>
      <c r="L6" s="218" t="inlineStr">
        <is>
          <t>Cuota variable unitario (€/kWh)</t>
        </is>
      </c>
      <c r="M6" s="216" t="inlineStr">
        <is>
          <t>Cuota fija unitario (€/Viv.)</t>
        </is>
      </c>
      <c r="N6" s="216" t="n"/>
      <c r="O6" s="1" t="n"/>
      <c r="P6" s="1" t="n"/>
    </row>
    <row r="7" ht="32.25" customFormat="1" customHeight="1" s="13">
      <c r="K7" s="216" t="n"/>
    </row>
  </sheetData>
  <mergeCells count="13">
    <mergeCell ref="H6:H7"/>
    <mergeCell ref="G6:G7"/>
    <mergeCell ref="L6:L7"/>
    <mergeCell ref="J6:J7"/>
    <mergeCell ref="I6:I7"/>
    <mergeCell ref="E6:E7"/>
    <mergeCell ref="C6:C7"/>
    <mergeCell ref="A6:A7"/>
    <mergeCell ref="N6:N7"/>
    <mergeCell ref="D6:D7"/>
    <mergeCell ref="B6:B7"/>
    <mergeCell ref="M6:M7"/>
    <mergeCell ref="F6:F7"/>
  </mergeCells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C2:S127"/>
  <sheetViews>
    <sheetView tabSelected="1" view="pageLayout" topLeftCell="A76" zoomScale="85" zoomScaleNormal="85" zoomScalePageLayoutView="85" workbookViewId="0">
      <selection activeCell="O112" sqref="O112"/>
    </sheetView>
  </sheetViews>
  <sheetFormatPr baseColWidth="10" defaultRowHeight="14.25"/>
  <cols>
    <col width="3.28515625" customWidth="1" style="1" min="1" max="2"/>
    <col width="11.42578125" customWidth="1" style="1" min="3" max="3"/>
    <col width="13.7109375" customWidth="1" style="1" min="4" max="4"/>
    <col width="15.7109375" customWidth="1" style="1" min="5" max="11"/>
    <col width="5.7109375" customWidth="1" style="1" min="12" max="12"/>
    <col width="11.42578125" customWidth="1" style="1" min="13" max="14"/>
    <col width="12.7109375" bestFit="1" customWidth="1" style="1" min="15" max="15"/>
    <col width="11.42578125" customWidth="1" style="1" min="16" max="16384"/>
  </cols>
  <sheetData>
    <row r="2" ht="15" customHeight="1">
      <c r="G2" s="240">
        <f>DATOS!A1</f>
        <v/>
      </c>
    </row>
    <row r="3" ht="15" customHeight="1">
      <c r="G3" s="241">
        <f>DATOS!A2</f>
        <v/>
      </c>
    </row>
    <row r="4" ht="15" customHeight="1">
      <c r="G4" s="241">
        <f>DATOS!A6</f>
        <v/>
      </c>
    </row>
    <row r="9" ht="15" customHeight="1">
      <c r="D9" s="1" t="inlineStr">
        <is>
          <t>Nº de VIVIENDAS:</t>
        </is>
      </c>
      <c r="G9" s="233">
        <f>DATOS!$D$7</f>
        <v/>
      </c>
    </row>
    <row r="10" ht="15" customHeight="1">
      <c r="D10" s="51" t="n"/>
      <c r="G10" s="160" t="inlineStr">
        <is>
          <t>ACS</t>
        </is>
      </c>
      <c r="H10" s="242" t="n"/>
    </row>
    <row r="11">
      <c r="D11" s="1" t="inlineStr">
        <is>
          <t>PERIODO ACS:</t>
        </is>
      </c>
      <c r="G11" s="153">
        <f>'LECTURAS ACS M3'!C54</f>
        <v/>
      </c>
      <c r="H11" s="153" t="inlineStr">
        <is>
          <t>días</t>
        </is>
      </c>
      <c r="I11" s="103" t="n"/>
      <c r="J11" s="103" t="n"/>
    </row>
    <row r="12" ht="13.5" customHeight="1">
      <c r="D12" s="1" t="inlineStr">
        <is>
          <t>m3 CONSUMIDOS:</t>
        </is>
      </c>
      <c r="G12" s="78">
        <f>'LECTURAS ACS M3'!G73</f>
        <v/>
      </c>
      <c r="H12" s="79" t="inlineStr">
        <is>
          <t>m3</t>
        </is>
      </c>
    </row>
    <row r="13">
      <c r="D13" s="1" t="inlineStr">
        <is>
          <t>CUOTA FIJA MES ACS (€/mes):</t>
        </is>
      </c>
      <c r="G13" s="80">
        <f>'LECTURAS ACS M3'!M73</f>
        <v/>
      </c>
      <c r="H13" s="79" t="inlineStr">
        <is>
          <t>/mes</t>
        </is>
      </c>
      <c r="I13" s="28" t="n"/>
      <c r="J13" s="67" t="n"/>
    </row>
    <row r="14" ht="13.5" customHeight="1">
      <c r="D14" s="1" t="inlineStr">
        <is>
          <t>PRECIO M3 (€/m3):</t>
        </is>
      </c>
      <c r="G14" s="80">
        <f>'LECTURAS ACS M3'!L73</f>
        <v/>
      </c>
      <c r="H14" s="79" t="inlineStr">
        <is>
          <t>/m3</t>
        </is>
      </c>
      <c r="I14" s="28" t="n"/>
      <c r="J14" s="67" t="n"/>
    </row>
    <row r="15" ht="15" customHeight="1">
      <c r="D15" s="51" t="n"/>
      <c r="G15" s="160" t="inlineStr">
        <is>
          <t>CALEFACCION</t>
        </is>
      </c>
      <c r="H15" s="242" t="n"/>
    </row>
    <row r="16">
      <c r="D16" s="1" t="inlineStr">
        <is>
          <t>PERIODO CALEFACCION:</t>
        </is>
      </c>
      <c r="G16" s="153">
        <f>'LECTURAS CALEF KWH'!C63</f>
        <v/>
      </c>
      <c r="H16" s="153" t="inlineStr">
        <is>
          <t>días</t>
        </is>
      </c>
    </row>
    <row r="17">
      <c r="D17" s="1" t="inlineStr">
        <is>
          <t>kWh CONSUMIDOS:</t>
        </is>
      </c>
      <c r="G17" s="78">
        <f>'LECTURAS CALEF KWH'!G82</f>
        <v/>
      </c>
      <c r="H17" s="79" t="inlineStr">
        <is>
          <t>kWh</t>
        </is>
      </c>
    </row>
    <row r="18">
      <c r="D18" s="1" t="inlineStr">
        <is>
          <t>CUOTA FIJA MES CALEFACCION (€/mes):</t>
        </is>
      </c>
      <c r="G18" s="80">
        <f>'LECTURAS CALEF KWH'!M82</f>
        <v/>
      </c>
      <c r="H18" s="79" t="inlineStr">
        <is>
          <t>/mes</t>
        </is>
      </c>
    </row>
    <row r="19">
      <c r="D19" s="1" t="inlineStr">
        <is>
          <t>PRECIO kWh (€/kWh):</t>
        </is>
      </c>
      <c r="G19" s="80">
        <f>'LECTURAS CALEF KWH'!L82</f>
        <v/>
      </c>
      <c r="H19" s="79" t="inlineStr">
        <is>
          <t>/kWh</t>
        </is>
      </c>
    </row>
    <row r="20">
      <c r="G20" s="29" t="n"/>
    </row>
    <row r="21">
      <c r="G21" s="29" t="n"/>
    </row>
    <row r="22">
      <c r="G22" s="29" t="n"/>
    </row>
    <row r="23" ht="32.25" customFormat="1" customHeight="1" s="8">
      <c r="G23" s="236" t="inlineStr">
        <is>
          <t>GASTOS EN EL PERIODO:</t>
        </is>
      </c>
    </row>
    <row r="24">
      <c r="D24" s="1" t="inlineStr">
        <is>
          <t>COMBUSTIBLE</t>
        </is>
      </c>
      <c r="G24" s="64">
        <f>H24/H$31</f>
        <v/>
      </c>
      <c r="H24" s="84">
        <f>GAS!L98</f>
        <v/>
      </c>
    </row>
    <row r="25" ht="14.25" customHeight="1">
      <c r="D25" s="1" t="inlineStr">
        <is>
          <t>ELECTRICIDAD</t>
        </is>
      </c>
      <c r="G25" s="64">
        <f>H25/H$31</f>
        <v/>
      </c>
      <c r="H25" s="84">
        <f>ELECTRICIDAD!H53</f>
        <v/>
      </c>
      <c r="I25" s="76" t="n"/>
    </row>
    <row r="26">
      <c r="D26" s="1" t="inlineStr">
        <is>
          <t>MTO. PREVENTIVO</t>
        </is>
      </c>
      <c r="G26" s="64">
        <f>H26/H$31</f>
        <v/>
      </c>
      <c r="H26" s="84" t="n">
        <v>0</v>
      </c>
    </row>
    <row r="27">
      <c r="D27" s="44" t="inlineStr">
        <is>
          <t>LECTURA CONTADORES ACS/CALEF</t>
        </is>
      </c>
      <c r="G27" s="64">
        <f>H27/H$31</f>
        <v/>
      </c>
      <c r="H27" s="84" t="n">
        <v>0</v>
      </c>
    </row>
    <row r="28">
      <c r="D28" s="1" t="inlineStr">
        <is>
          <t>CONSUMO AGUA FRIA</t>
        </is>
      </c>
      <c r="G28" s="64">
        <f>H28/H$31</f>
        <v/>
      </c>
      <c r="H28" s="84">
        <f>AGUA!V59</f>
        <v/>
      </c>
    </row>
    <row r="29">
      <c r="D29" s="1" t="inlineStr">
        <is>
          <t>FIJO AGUA FRIA</t>
        </is>
      </c>
      <c r="G29" s="64">
        <f>H29/H$31</f>
        <v/>
      </c>
      <c r="H29" s="84">
        <f>AGUA!W59</f>
        <v/>
      </c>
    </row>
    <row r="30" ht="13.5" customHeight="1">
      <c r="D30" s="21" t="inlineStr">
        <is>
          <t>MTO. CORRECTIVO (REPARACIONES)</t>
        </is>
      </c>
      <c r="E30" s="21" t="n"/>
      <c r="F30" s="21" t="n"/>
      <c r="G30" s="65">
        <f>H30/H$31</f>
        <v/>
      </c>
      <c r="H30" s="85" t="n">
        <v>0</v>
      </c>
      <c r="I30" s="76" t="inlineStr">
        <is>
          <t>(3)</t>
        </is>
      </c>
    </row>
    <row r="31" ht="15" customHeight="1">
      <c r="D31" s="82" t="n"/>
      <c r="E31" s="82" t="n"/>
      <c r="F31" s="82" t="inlineStr">
        <is>
          <t>TOTAL …</t>
        </is>
      </c>
      <c r="G31" s="83">
        <f>H31/H$31</f>
        <v/>
      </c>
      <c r="H31" s="86">
        <f>SUM(H24:H30)</f>
        <v/>
      </c>
    </row>
    <row r="37" ht="15" customHeight="1">
      <c r="E37" s="88" t="inlineStr">
        <is>
          <t>% REPARTO DEL COSTE TOTAL ENTRE SERVICIOS</t>
        </is>
      </c>
      <c r="F37" s="89" t="n"/>
      <c r="G37" s="89" t="n"/>
      <c r="H37" s="202" t="inlineStr">
        <is>
          <t>ACS</t>
        </is>
      </c>
      <c r="I37" s="90" t="inlineStr">
        <is>
          <t>CALEFACCION</t>
        </is>
      </c>
      <c r="O37" s="52" t="n"/>
      <c r="P37" s="53" t="n"/>
      <c r="Q37" s="53" t="n"/>
      <c r="R37" s="53" t="inlineStr">
        <is>
          <t>CTE documento HE1</t>
        </is>
      </c>
      <c r="S37" s="54" t="n"/>
    </row>
    <row r="38" ht="13.5" customHeight="1">
      <c r="E38" s="55" t="inlineStr">
        <is>
          <t>COMBUSTIBLE</t>
        </is>
      </c>
      <c r="H38" s="59">
        <f>GAS!V98</f>
        <v/>
      </c>
      <c r="I38" s="60">
        <f>GAS!W98</f>
        <v/>
      </c>
      <c r="J38" s="76" t="inlineStr">
        <is>
          <t>(1)</t>
        </is>
      </c>
      <c r="O38" s="55" t="n"/>
      <c r="R38" s="1" t="inlineStr">
        <is>
          <t>Zona climática D3</t>
        </is>
      </c>
      <c r="S38" s="56" t="n"/>
    </row>
    <row r="39" ht="14.25" customHeight="1">
      <c r="E39" s="55" t="inlineStr">
        <is>
          <t>ELECTRICIDAD</t>
        </is>
      </c>
      <c r="H39" s="59">
        <f>ELECTRICIDAD!P53</f>
        <v/>
      </c>
      <c r="I39" s="60">
        <f>ELECTRICIDAD!Q53</f>
        <v/>
      </c>
      <c r="J39" s="76" t="inlineStr">
        <is>
          <t>(1)</t>
        </is>
      </c>
      <c r="O39" s="55" t="n"/>
      <c r="R39" s="1" t="inlineStr">
        <is>
          <t>Viviendas &lt;= 100 m2</t>
        </is>
      </c>
      <c r="S39" s="56" t="n"/>
    </row>
    <row r="40">
      <c r="E40" s="55" t="inlineStr">
        <is>
          <t>MTO. PREVENTIVO</t>
        </is>
      </c>
      <c r="H40" s="59" t="n">
        <v>0.5</v>
      </c>
      <c r="I40" s="60" t="n">
        <v>0.5</v>
      </c>
      <c r="O40" s="55" t="n"/>
      <c r="R40" s="2" t="inlineStr">
        <is>
          <t>% CALEF.</t>
        </is>
      </c>
      <c r="S40" s="57" t="inlineStr">
        <is>
          <t>% ACS</t>
        </is>
      </c>
    </row>
    <row r="41">
      <c r="E41" s="55" t="inlineStr">
        <is>
          <t>LECTURA CONTADORES</t>
        </is>
      </c>
      <c r="H41" s="59" t="n">
        <v>0.5</v>
      </c>
      <c r="I41" s="60" t="n">
        <v>0.5</v>
      </c>
      <c r="O41" s="58" t="inlineStr">
        <is>
          <t>- Sin energía solar térmica:</t>
        </is>
      </c>
      <c r="R41" s="59" t="n">
        <v>0.55</v>
      </c>
      <c r="S41" s="60" t="n">
        <v>0.45</v>
      </c>
    </row>
    <row r="42">
      <c r="E42" s="55" t="inlineStr">
        <is>
          <t>CONSUMO AGUA FRIA</t>
        </is>
      </c>
      <c r="H42" s="59" t="n">
        <v>1</v>
      </c>
      <c r="I42" s="60" t="n"/>
      <c r="O42" s="58" t="inlineStr">
        <is>
          <t>- Sin energía solar térmica:</t>
        </is>
      </c>
      <c r="R42" s="59" t="n">
        <v>0.55</v>
      </c>
      <c r="S42" s="60" t="n">
        <v>0.45</v>
      </c>
    </row>
    <row r="43">
      <c r="E43" s="55" t="inlineStr">
        <is>
          <t>FIJO AGUA FRIA</t>
        </is>
      </c>
      <c r="H43" s="59" t="n">
        <v>1</v>
      </c>
      <c r="I43" s="60" t="n"/>
      <c r="O43" s="61" t="inlineStr">
        <is>
          <t>- Con energía solar térmica:</t>
        </is>
      </c>
      <c r="P43" s="21" t="n"/>
      <c r="Q43" s="21" t="n"/>
      <c r="R43" s="62" t="n">
        <v>0.65</v>
      </c>
      <c r="S43" s="63" t="n">
        <v>0.35</v>
      </c>
    </row>
    <row r="44">
      <c r="E44" s="87" t="inlineStr">
        <is>
          <t>MTO. CORRECTIVO (REPARACIONES)</t>
        </is>
      </c>
      <c r="F44" s="21" t="n"/>
      <c r="G44" s="21" t="n"/>
      <c r="H44" s="62" t="n">
        <v>0.5</v>
      </c>
      <c r="I44" s="63" t="n">
        <v>0.5</v>
      </c>
    </row>
    <row r="48" ht="15" customHeight="1">
      <c r="C48" s="176" t="inlineStr">
        <is>
          <t>% REPARTO DE COSTES POR SERVICIOS</t>
        </is>
      </c>
      <c r="D48" s="243" t="n"/>
      <c r="E48" s="244" t="n"/>
      <c r="F48" s="97" t="n"/>
      <c r="G48" s="98" t="inlineStr">
        <is>
          <t>ACS</t>
        </is>
      </c>
      <c r="H48" s="99" t="n"/>
      <c r="I48" s="97" t="n"/>
      <c r="J48" s="98" t="inlineStr">
        <is>
          <t>CALEFACCION</t>
        </is>
      </c>
      <c r="K48" s="99" t="n"/>
    </row>
    <row r="49" ht="15" customHeight="1">
      <c r="C49" s="127" t="inlineStr">
        <is>
          <t>(COSTE FIJO Y VARIABLE)</t>
        </is>
      </c>
      <c r="D49" s="150" t="n"/>
      <c r="E49" s="245" t="n"/>
      <c r="F49" s="91" t="inlineStr">
        <is>
          <t>% FIJO</t>
        </is>
      </c>
      <c r="G49" s="92" t="inlineStr">
        <is>
          <t>% VAR</t>
        </is>
      </c>
      <c r="H49" s="100" t="inlineStr">
        <is>
          <t>% sobre C. TOTAL</t>
        </is>
      </c>
      <c r="I49" s="91" t="inlineStr">
        <is>
          <t>% FIJO</t>
        </is>
      </c>
      <c r="J49" s="92" t="inlineStr">
        <is>
          <t>% VAR</t>
        </is>
      </c>
      <c r="K49" s="100" t="inlineStr">
        <is>
          <t>% sobre C. TOTAL</t>
        </is>
      </c>
    </row>
    <row r="50" ht="13.5" customHeight="1">
      <c r="C50" s="52" t="inlineStr">
        <is>
          <t>COMBUSTIBLE</t>
        </is>
      </c>
      <c r="D50" s="53" t="n"/>
      <c r="E50" s="53" t="n"/>
      <c r="F50" s="94">
        <f>GAS!X98</f>
        <v/>
      </c>
      <c r="G50" s="93">
        <f>GAS!Y98</f>
        <v/>
      </c>
      <c r="H50" s="95">
        <f>H38</f>
        <v/>
      </c>
      <c r="I50" s="94">
        <f>F50</f>
        <v/>
      </c>
      <c r="J50" s="93">
        <f>G50</f>
        <v/>
      </c>
      <c r="K50" s="95">
        <f>I38</f>
        <v/>
      </c>
      <c r="L50" s="76" t="inlineStr">
        <is>
          <t>(2)</t>
        </is>
      </c>
    </row>
    <row r="51" ht="13.5" customHeight="1">
      <c r="C51" s="55" t="inlineStr">
        <is>
          <t>ELECTRICIDAD</t>
        </is>
      </c>
      <c r="F51" s="68">
        <f>ELECTRICIDAD!R53</f>
        <v/>
      </c>
      <c r="G51" s="69">
        <f>ELECTRICIDAD!S53</f>
        <v/>
      </c>
      <c r="H51" s="60">
        <f>H39</f>
        <v/>
      </c>
      <c r="I51" s="68">
        <f>F51</f>
        <v/>
      </c>
      <c r="J51" s="69">
        <f>G51</f>
        <v/>
      </c>
      <c r="K51" s="60">
        <f>I39</f>
        <v/>
      </c>
      <c r="L51" s="76" t="inlineStr">
        <is>
          <t>(2)</t>
        </is>
      </c>
    </row>
    <row r="52">
      <c r="C52" s="55" t="inlineStr">
        <is>
          <t>MTO. PREVENTIVO</t>
        </is>
      </c>
      <c r="F52" s="70" t="n">
        <v>1</v>
      </c>
      <c r="G52" s="59" t="n"/>
      <c r="H52" s="60">
        <f>H40</f>
        <v/>
      </c>
      <c r="I52" s="70" t="n">
        <v>1</v>
      </c>
      <c r="J52" s="59" t="n"/>
      <c r="K52" s="60">
        <f>I40</f>
        <v/>
      </c>
      <c r="M52" s="66" t="n"/>
    </row>
    <row r="53">
      <c r="C53" s="55" t="inlineStr">
        <is>
          <t>LECTURA CONTADORES</t>
        </is>
      </c>
      <c r="F53" s="70" t="n">
        <v>1</v>
      </c>
      <c r="G53" s="59" t="n"/>
      <c r="H53" s="60">
        <f>H41</f>
        <v/>
      </c>
      <c r="I53" s="70" t="n">
        <v>1</v>
      </c>
      <c r="J53" s="59" t="n"/>
      <c r="K53" s="60">
        <f>I41</f>
        <v/>
      </c>
      <c r="M53" s="66" t="n"/>
    </row>
    <row r="54">
      <c r="C54" s="55" t="inlineStr">
        <is>
          <t>CONSUMO AGUA FRIA</t>
        </is>
      </c>
      <c r="F54" s="70" t="n"/>
      <c r="G54" s="59" t="n">
        <v>1</v>
      </c>
      <c r="H54" s="60">
        <f>H42</f>
        <v/>
      </c>
      <c r="I54" s="70" t="n"/>
      <c r="J54" s="59" t="n"/>
      <c r="K54" s="60" t="n"/>
    </row>
    <row r="55">
      <c r="C55" s="55" t="inlineStr">
        <is>
          <t>FIJO AGUA FRIA</t>
        </is>
      </c>
      <c r="F55" s="70" t="n">
        <v>1</v>
      </c>
      <c r="G55" s="59" t="n"/>
      <c r="H55" s="60">
        <f>H43</f>
        <v/>
      </c>
      <c r="I55" s="70" t="n"/>
      <c r="J55" s="59" t="n"/>
      <c r="K55" s="60" t="n"/>
    </row>
    <row r="56">
      <c r="C56" s="87" t="inlineStr">
        <is>
          <t>MTO. CORRECTIVO (REPARACIONES)</t>
        </is>
      </c>
      <c r="D56" s="21" t="n"/>
      <c r="E56" s="21" t="n"/>
      <c r="F56" s="96" t="n">
        <v>1</v>
      </c>
      <c r="G56" s="62" t="n"/>
      <c r="H56" s="63">
        <f>H44</f>
        <v/>
      </c>
      <c r="I56" s="96" t="n">
        <v>1</v>
      </c>
      <c r="J56" s="62" t="n"/>
      <c r="K56" s="63">
        <f>I44</f>
        <v/>
      </c>
    </row>
    <row r="64">
      <c r="C64" s="1" t="inlineStr">
        <is>
          <t>NOTAS:</t>
        </is>
      </c>
    </row>
    <row r="65" ht="16.5" customHeight="1">
      <c r="C65" s="76" t="inlineStr">
        <is>
          <t>(1) El reparto del coste total de COMBUSTIBLE y ELECTRICIDAD entre servicios se ha calculado con la facturación real de los suministros.</t>
        </is>
      </c>
    </row>
    <row r="66" ht="16.5" customHeight="1">
      <c r="C66" s="76" t="inlineStr">
        <is>
          <t>(2) El porcentaje de coste fijo y coste variable en COMBUSTIBLE y ELECTRICIDAD se ha calculado con la facturación real de los suministros.</t>
        </is>
      </c>
    </row>
    <row r="67" ht="16.5" customHeight="1">
      <c r="C67" s="76" t="inlineStr">
        <is>
          <t>(3) Los gastos de reparaciones indicados corresponden a los gastos reales con amortización (máx. 5 años) según la tipología.</t>
        </is>
      </c>
    </row>
    <row r="68" ht="16.5" customHeight="1">
      <c r="C68" s="76" t="n"/>
    </row>
    <row r="70" ht="15" customHeight="1">
      <c r="G70" s="241" t="n"/>
    </row>
    <row r="71" ht="15" customHeight="1">
      <c r="G71" s="241" t="inlineStr">
        <is>
          <t>RESULTADO DEL ANALISIS Y DEL REPARTO DE COSTES</t>
        </is>
      </c>
    </row>
    <row r="72" ht="15" customHeight="1">
      <c r="G72" s="241">
        <f>G4</f>
        <v/>
      </c>
    </row>
    <row r="75" ht="15" customHeight="1">
      <c r="C75" s="117" t="inlineStr">
        <is>
          <t xml:space="preserve">ACS </t>
        </is>
      </c>
      <c r="D75" s="118" t="n"/>
      <c r="E75" s="118" t="n"/>
      <c r="F75" s="118" t="n"/>
      <c r="G75" s="232" t="inlineStr">
        <is>
          <t>GASTO</t>
        </is>
      </c>
      <c r="H75" s="246" t="inlineStr">
        <is>
          <t>CUOTA FIJA</t>
        </is>
      </c>
      <c r="I75" s="247" t="n"/>
      <c r="J75" s="227" t="inlineStr">
        <is>
          <t>CUOTA VARIABLE</t>
        </is>
      </c>
      <c r="K75" s="244" t="n"/>
    </row>
    <row r="76" ht="15" customHeight="1">
      <c r="C76" s="55" t="inlineStr">
        <is>
          <t>COMBUSTIBLE</t>
        </is>
      </c>
      <c r="G76" s="112">
        <f>H38*$H24</f>
        <v/>
      </c>
      <c r="H76" s="107">
        <f>F50*G76</f>
        <v/>
      </c>
      <c r="I76" s="108">
        <f>F50</f>
        <v/>
      </c>
      <c r="J76" s="6">
        <f>G50*G76</f>
        <v/>
      </c>
      <c r="K76" s="119">
        <f>G50</f>
        <v/>
      </c>
    </row>
    <row r="77" ht="15" customHeight="1">
      <c r="C77" s="55" t="inlineStr">
        <is>
          <t>ELECTRICIDAD</t>
        </is>
      </c>
      <c r="G77" s="112">
        <f>H39*$H25</f>
        <v/>
      </c>
      <c r="H77" s="107">
        <f>F51*G77</f>
        <v/>
      </c>
      <c r="I77" s="108">
        <f>F51</f>
        <v/>
      </c>
      <c r="J77" s="6">
        <f>G51*G77</f>
        <v/>
      </c>
      <c r="K77" s="119">
        <f>G51</f>
        <v/>
      </c>
    </row>
    <row r="78" ht="15" customHeight="1">
      <c r="C78" s="55" t="inlineStr">
        <is>
          <t>MTO. PREVENTIVO</t>
        </is>
      </c>
      <c r="G78" s="112">
        <f>H40*$H$26</f>
        <v/>
      </c>
      <c r="H78" s="107">
        <f>F52*G78</f>
        <v/>
      </c>
      <c r="I78" s="109">
        <f>F52</f>
        <v/>
      </c>
      <c r="J78" s="6" t="n"/>
      <c r="K78" s="60" t="n"/>
    </row>
    <row r="79" ht="15" customHeight="1">
      <c r="C79" s="55" t="inlineStr">
        <is>
          <t>LECTURA CONTADORES</t>
        </is>
      </c>
      <c r="G79" s="112">
        <f>H41*$H$27</f>
        <v/>
      </c>
      <c r="H79" s="107">
        <f>F53*G79</f>
        <v/>
      </c>
      <c r="I79" s="109">
        <f>F53</f>
        <v/>
      </c>
      <c r="J79" s="6" t="n"/>
      <c r="K79" s="60" t="n"/>
    </row>
    <row r="80" ht="15" customHeight="1">
      <c r="C80" s="55" t="inlineStr">
        <is>
          <t>CONSUMO AGUA FRIA</t>
        </is>
      </c>
      <c r="G80" s="112">
        <f>H42*$H$28</f>
        <v/>
      </c>
      <c r="H80" s="107" t="n"/>
      <c r="I80" s="109" t="n"/>
      <c r="J80" s="6">
        <f>G54*G80</f>
        <v/>
      </c>
      <c r="K80" s="60">
        <f>G54</f>
        <v/>
      </c>
    </row>
    <row r="81" ht="15" customHeight="1">
      <c r="C81" s="55" t="inlineStr">
        <is>
          <t>FIJO AGUA FRIA</t>
        </is>
      </c>
      <c r="G81" s="112">
        <f>H43*$H29</f>
        <v/>
      </c>
      <c r="H81" s="107">
        <f>F55*G81</f>
        <v/>
      </c>
      <c r="I81" s="109">
        <f>F55</f>
        <v/>
      </c>
      <c r="J81" s="6" t="n"/>
      <c r="K81" s="60" t="n"/>
    </row>
    <row r="82" ht="15" customHeight="1">
      <c r="C82" s="55" t="inlineStr">
        <is>
          <t>MTO. CORRECTIVO (REPARACIONES)</t>
        </is>
      </c>
      <c r="F82" s="104" t="n"/>
      <c r="G82" s="113">
        <f>H44*$H$30</f>
        <v/>
      </c>
      <c r="H82" s="110">
        <f>F56*G82</f>
        <v/>
      </c>
      <c r="I82" s="111">
        <f>F56</f>
        <v/>
      </c>
      <c r="J82" s="105" t="n"/>
      <c r="K82" s="120" t="n"/>
    </row>
    <row r="83" ht="15" customHeight="1">
      <c r="C83" s="55" t="n"/>
      <c r="F83" s="126" t="inlineStr">
        <is>
          <t>TOTAL ….</t>
        </is>
      </c>
      <c r="G83" s="115">
        <f>SUM(G76:G82)</f>
        <v/>
      </c>
      <c r="H83" s="114">
        <f>SUM(H76:H82)</f>
        <v/>
      </c>
      <c r="I83" s="116" t="n"/>
      <c r="J83" s="114">
        <f>SUM(J76:J82)</f>
        <v/>
      </c>
      <c r="K83" s="121" t="n"/>
    </row>
    <row r="84">
      <c r="C84" s="55" t="n"/>
      <c r="K84" s="56" t="n"/>
    </row>
    <row r="85" ht="15" customHeight="1">
      <c r="C85" s="55" t="n"/>
      <c r="F85" s="29" t="inlineStr">
        <is>
          <t>IMPORTE COBRADO….</t>
        </is>
      </c>
      <c r="G85" s="123">
        <f>H85+J85</f>
        <v/>
      </c>
      <c r="H85" s="123">
        <f>'LECTURAS ACS M3'!I73</f>
        <v/>
      </c>
      <c r="I85" s="51" t="n"/>
      <c r="J85" s="123">
        <f>'LECTURAS ACS M3'!H73</f>
        <v/>
      </c>
      <c r="K85" s="56" t="n"/>
    </row>
    <row r="86" ht="15" customHeight="1">
      <c r="C86" s="87" t="n"/>
      <c r="D86" s="21" t="n"/>
      <c r="E86" s="21" t="n"/>
      <c r="F86" s="32" t="inlineStr">
        <is>
          <t>DIFERENCIA ….</t>
        </is>
      </c>
      <c r="G86" s="124">
        <f>G85-G83</f>
        <v/>
      </c>
      <c r="H86" s="124">
        <f>H85-H83</f>
        <v/>
      </c>
      <c r="I86" s="125" t="n"/>
      <c r="J86" s="124">
        <f>J85-J83</f>
        <v/>
      </c>
      <c r="K86" s="122" t="n"/>
    </row>
    <row r="88" ht="15" customHeight="1">
      <c r="C88" s="106" t="n"/>
      <c r="D88" s="106" t="n"/>
      <c r="E88" s="106" t="n"/>
      <c r="F88" s="230" t="inlineStr">
        <is>
          <t>FACTURADO</t>
        </is>
      </c>
      <c r="G88" s="127" t="inlineStr">
        <is>
          <t>COSTE REAL</t>
        </is>
      </c>
      <c r="H88" s="228" t="inlineStr">
        <is>
          <t>DIFERENCIA COSTE REAL-FACTURADO</t>
        </is>
      </c>
      <c r="I88" s="150" t="n"/>
      <c r="J88" s="150" t="n"/>
      <c r="K88" s="106" t="n"/>
    </row>
    <row r="89" ht="15" customHeight="1">
      <c r="C89" s="106" t="n"/>
      <c r="D89" s="106" t="n"/>
      <c r="E89" s="128" t="inlineStr">
        <is>
          <t>Cuota fija vivienda/mes (€/mes)</t>
        </is>
      </c>
      <c r="F89" s="144">
        <f>G13</f>
        <v/>
      </c>
      <c r="G89" s="154">
        <f>(H83/G9)/(G11*12/365)</f>
        <v/>
      </c>
      <c r="H89" s="137">
        <f>-G89+F89</f>
        <v/>
      </c>
      <c r="I89" s="106" t="inlineStr">
        <is>
          <t>€/mes</t>
        </is>
      </c>
      <c r="J89" s="130">
        <f>H89/G89</f>
        <v/>
      </c>
      <c r="K89" s="106" t="n"/>
    </row>
    <row r="90" ht="15" customHeight="1">
      <c r="C90" s="106" t="n"/>
      <c r="D90" s="106" t="n"/>
      <c r="E90" s="128" t="inlineStr">
        <is>
          <t>Cuota variable m3 consumido (€/m3)</t>
        </is>
      </c>
      <c r="F90" s="144">
        <f>G14</f>
        <v/>
      </c>
      <c r="G90" s="129">
        <f>J83/G12</f>
        <v/>
      </c>
      <c r="H90" s="137">
        <f>-G90+F90</f>
        <v/>
      </c>
      <c r="I90" s="106" t="inlineStr">
        <is>
          <t>€/m3</t>
        </is>
      </c>
      <c r="J90" s="130">
        <f>H90/G90</f>
        <v/>
      </c>
      <c r="K90" s="106" t="n"/>
    </row>
    <row r="91">
      <c r="H91" s="138" t="inlineStr">
        <is>
          <t>NOTA: la diferencia se calcula con el valor de la cuota facturada al final del ejercicio.</t>
        </is>
      </c>
    </row>
    <row r="92">
      <c r="F92" s="81" t="n"/>
      <c r="H92" s="67" t="n"/>
    </row>
    <row r="93">
      <c r="H93" s="67" t="n"/>
      <c r="O93" s="6">
        <f>G86+G107</f>
        <v/>
      </c>
    </row>
    <row r="94">
      <c r="H94" s="67" t="n"/>
    </row>
    <row r="96" ht="15" customHeight="1">
      <c r="C96" s="117" t="inlineStr">
        <is>
          <t>CALEFACCION</t>
        </is>
      </c>
      <c r="D96" s="118" t="n"/>
      <c r="E96" s="118" t="n"/>
      <c r="F96" s="118" t="n"/>
      <c r="G96" s="232" t="inlineStr">
        <is>
          <t>GASTO</t>
        </is>
      </c>
      <c r="H96" s="246" t="inlineStr">
        <is>
          <t>CUOTA FIJA</t>
        </is>
      </c>
      <c r="I96" s="247" t="n"/>
      <c r="J96" s="227" t="inlineStr">
        <is>
          <t>CUOTA VARIABLE</t>
        </is>
      </c>
      <c r="K96" s="244" t="n"/>
    </row>
    <row r="97" ht="15" customHeight="1">
      <c r="C97" s="55" t="inlineStr">
        <is>
          <t>COMBUSTIBLE</t>
        </is>
      </c>
      <c r="G97" s="112">
        <f>I38*$H24</f>
        <v/>
      </c>
      <c r="H97" s="107">
        <f>G97*I50</f>
        <v/>
      </c>
      <c r="I97" s="108">
        <f>I50</f>
        <v/>
      </c>
      <c r="J97" s="6">
        <f>G97*J50</f>
        <v/>
      </c>
      <c r="K97" s="119">
        <f>J50</f>
        <v/>
      </c>
    </row>
    <row r="98" ht="15" customHeight="1">
      <c r="C98" s="55" t="inlineStr">
        <is>
          <t>ELECTRICIDAD</t>
        </is>
      </c>
      <c r="G98" s="112">
        <f>I39*$H25</f>
        <v/>
      </c>
      <c r="H98" s="107">
        <f>G98*I51</f>
        <v/>
      </c>
      <c r="I98" s="108">
        <f>I51</f>
        <v/>
      </c>
      <c r="J98" s="6">
        <f>G98*J51</f>
        <v/>
      </c>
      <c r="K98" s="119">
        <f>J51</f>
        <v/>
      </c>
    </row>
    <row r="99" ht="15" customHeight="1">
      <c r="C99" s="55" t="inlineStr">
        <is>
          <t>MTO. PREVENTIVO</t>
        </is>
      </c>
      <c r="G99" s="112">
        <f>I40*$H26</f>
        <v/>
      </c>
      <c r="H99" s="107">
        <f>G99*I52</f>
        <v/>
      </c>
      <c r="I99" s="109">
        <f>I52</f>
        <v/>
      </c>
      <c r="J99" s="6" t="n"/>
      <c r="K99" s="60" t="n"/>
    </row>
    <row r="100" ht="15" customHeight="1">
      <c r="C100" s="55" t="inlineStr">
        <is>
          <t>LECTURA CONTADORES</t>
        </is>
      </c>
      <c r="G100" s="112">
        <f>I41*$H27</f>
        <v/>
      </c>
      <c r="H100" s="107">
        <f>G100*I53</f>
        <v/>
      </c>
      <c r="I100" s="109">
        <f>I53</f>
        <v/>
      </c>
      <c r="J100" s="6" t="n"/>
      <c r="K100" s="60" t="n"/>
    </row>
    <row r="101" ht="15" customHeight="1">
      <c r="C101" s="55" t="inlineStr">
        <is>
          <t>CONSUMO AGUA FRIA</t>
        </is>
      </c>
      <c r="G101" s="112" t="n"/>
      <c r="H101" s="107" t="n"/>
      <c r="I101" s="109" t="n"/>
      <c r="J101" s="6" t="n"/>
      <c r="K101" s="60" t="n"/>
    </row>
    <row r="102" ht="15" customHeight="1">
      <c r="C102" s="55" t="inlineStr">
        <is>
          <t>FIJO AGUA FRIA</t>
        </is>
      </c>
      <c r="G102" s="112" t="n"/>
      <c r="H102" s="107" t="n"/>
      <c r="I102" s="109" t="n"/>
      <c r="J102" s="6" t="n"/>
      <c r="K102" s="60" t="n"/>
    </row>
    <row r="103" ht="15" customHeight="1">
      <c r="C103" s="55" t="inlineStr">
        <is>
          <t>MTO. CORRECTIVO (REPARACIONES)</t>
        </is>
      </c>
      <c r="G103" s="112">
        <f>I44*$H30</f>
        <v/>
      </c>
      <c r="H103" s="107">
        <f>G103*I56</f>
        <v/>
      </c>
      <c r="I103" s="109">
        <f>I56</f>
        <v/>
      </c>
      <c r="J103" s="6" t="n"/>
      <c r="K103" s="60" t="n"/>
    </row>
    <row r="104" ht="15" customHeight="1">
      <c r="C104" s="55" t="n"/>
      <c r="F104" s="126" t="inlineStr">
        <is>
          <t>TOTAL ….</t>
        </is>
      </c>
      <c r="G104" s="115">
        <f>SUM(G97:G103)</f>
        <v/>
      </c>
      <c r="H104" s="114">
        <f>SUM(H97:H103)</f>
        <v/>
      </c>
      <c r="I104" s="116" t="n"/>
      <c r="J104" s="114">
        <f>SUM(J97:J103)</f>
        <v/>
      </c>
      <c r="K104" s="121" t="n"/>
      <c r="Q104" s="1">
        <f>17880.8/0.2</f>
        <v/>
      </c>
    </row>
    <row r="105">
      <c r="C105" s="55" t="n"/>
      <c r="K105" s="56" t="n"/>
      <c r="Q105" s="1">
        <f>16224/6</f>
        <v/>
      </c>
    </row>
    <row r="106" ht="15" customHeight="1">
      <c r="C106" s="55" t="n"/>
      <c r="F106" s="29" t="inlineStr">
        <is>
          <t>IMPORTE COBRADO….</t>
        </is>
      </c>
      <c r="G106" s="123">
        <f>H106+J106</f>
        <v/>
      </c>
      <c r="H106" s="123">
        <f>'LECTURAS CALEF KWH'!I82</f>
        <v/>
      </c>
      <c r="I106" s="51" t="n"/>
      <c r="J106" s="123">
        <f>'LECTURAS CALEF KWH'!H82</f>
        <v/>
      </c>
      <c r="K106" s="56" t="n"/>
    </row>
    <row r="107" ht="15" customHeight="1">
      <c r="C107" s="87" t="n"/>
      <c r="D107" s="21" t="n"/>
      <c r="E107" s="21" t="n"/>
      <c r="F107" s="32" t="inlineStr">
        <is>
          <t>DIFERENCIA ….</t>
        </is>
      </c>
      <c r="G107" s="124">
        <f>G106-G104</f>
        <v/>
      </c>
      <c r="H107" s="124">
        <f>H106-H104</f>
        <v/>
      </c>
      <c r="I107" s="125" t="n"/>
      <c r="J107" s="124">
        <f>J106-J104</f>
        <v/>
      </c>
      <c r="K107" s="122" t="n"/>
    </row>
    <row r="109" ht="15" customHeight="1">
      <c r="C109" s="106" t="n"/>
      <c r="D109" s="106" t="n"/>
      <c r="E109" s="106" t="n"/>
      <c r="F109" s="230" t="inlineStr">
        <is>
          <t>FACTURADO</t>
        </is>
      </c>
      <c r="G109" s="127" t="inlineStr">
        <is>
          <t>COSTE REAL</t>
        </is>
      </c>
      <c r="H109" s="228" t="inlineStr">
        <is>
          <t>DIFERENCIA FACTURADO-COSTE REAL</t>
        </is>
      </c>
      <c r="I109" s="150" t="n"/>
      <c r="J109" s="150" t="n"/>
      <c r="K109" s="106" t="n"/>
    </row>
    <row r="110" ht="15" customHeight="1">
      <c r="C110" s="106" t="n"/>
      <c r="D110" s="106" t="n"/>
      <c r="E110" s="128" t="inlineStr">
        <is>
          <t>Cuota fija vivienda/mes (€/mes)</t>
        </is>
      </c>
      <c r="F110" s="204">
        <f>G18</f>
        <v/>
      </c>
      <c r="G110" s="154">
        <f>(H104/G9)/(G16*12/365)</f>
        <v/>
      </c>
      <c r="H110" s="137">
        <f>-G110+F110</f>
        <v/>
      </c>
      <c r="I110" s="106" t="inlineStr">
        <is>
          <t>€/mes</t>
        </is>
      </c>
      <c r="J110" s="130">
        <f>H110/G110</f>
        <v/>
      </c>
      <c r="K110" s="106" t="n"/>
    </row>
    <row r="111" ht="15" customHeight="1">
      <c r="C111" s="106" t="n"/>
      <c r="D111" s="106" t="n"/>
      <c r="E111" s="128" t="inlineStr">
        <is>
          <t>Cuota variable kWh consumido (€/kWh)</t>
        </is>
      </c>
      <c r="F111" s="204">
        <f>G19</f>
        <v/>
      </c>
      <c r="G111" s="129">
        <f>J104/G17</f>
        <v/>
      </c>
      <c r="H111" s="137">
        <f>-G111+F111</f>
        <v/>
      </c>
      <c r="I111" s="106" t="inlineStr">
        <is>
          <t>€/kWh</t>
        </is>
      </c>
      <c r="J111" s="130">
        <f>H111/G111</f>
        <v/>
      </c>
      <c r="K111" s="106" t="n"/>
    </row>
    <row r="112">
      <c r="H112" s="138" t="inlineStr">
        <is>
          <t>NOTA: la diferencia se calcula con el valor de la cuota facturada al final del ejercicio.</t>
        </is>
      </c>
    </row>
    <row r="120" ht="15" customHeight="1" thickBot="1"/>
    <row r="121" ht="15" customHeight="1" thickTop="1">
      <c r="C121" s="132" t="n"/>
      <c r="D121" s="132" t="n"/>
      <c r="E121" s="132" t="n"/>
      <c r="F121" s="132" t="n"/>
      <c r="G121" s="132" t="n"/>
      <c r="H121" s="132" t="n"/>
      <c r="I121" s="132" t="n"/>
      <c r="J121" s="132" t="n"/>
      <c r="K121" s="132" t="n"/>
    </row>
    <row r="122" ht="15" customHeight="1">
      <c r="C122" s="239" t="inlineStr">
        <is>
          <t>NUEVOS IMPORTES A FACTURAR SIGUENTE EJERCICIO</t>
        </is>
      </c>
    </row>
    <row r="123" ht="6.95" customHeight="1">
      <c r="C123" s="131" t="n"/>
      <c r="D123" s="131" t="n"/>
      <c r="E123" s="131" t="n"/>
      <c r="F123" s="131" t="n"/>
      <c r="G123" s="239" t="n"/>
      <c r="H123" s="131" t="n"/>
      <c r="I123" s="131" t="n"/>
      <c r="J123" s="131" t="n"/>
      <c r="K123" s="131" t="n"/>
    </row>
    <row r="124" ht="15" customHeight="1">
      <c r="C124" s="131" t="n"/>
      <c r="D124" s="131" t="n"/>
      <c r="E124" s="131" t="n"/>
      <c r="F124" s="238" t="inlineStr">
        <is>
          <t>ACS</t>
        </is>
      </c>
      <c r="G124" s="245" t="n"/>
      <c r="H124" s="237" t="inlineStr">
        <is>
          <t>CALEFACCION</t>
        </is>
      </c>
      <c r="I124" s="150" t="n"/>
      <c r="J124" s="131" t="n"/>
      <c r="K124" s="131" t="n"/>
    </row>
    <row r="125" ht="15.75" customHeight="1">
      <c r="C125" s="131" t="n"/>
      <c r="D125" s="131" t="n"/>
      <c r="E125" s="134" t="inlineStr">
        <is>
          <t>Cuota fija vivienda/mes (€/mes)</t>
        </is>
      </c>
      <c r="F125" s="205" t="n">
        <v>7.5</v>
      </c>
      <c r="G125" s="206" t="inlineStr">
        <is>
          <t>/mes</t>
        </is>
      </c>
      <c r="H125" s="205" t="n">
        <v>6</v>
      </c>
      <c r="I125" s="207" t="inlineStr">
        <is>
          <t>/mes</t>
        </is>
      </c>
      <c r="J125" s="131" t="n"/>
      <c r="K125" s="131" t="n"/>
    </row>
    <row r="126" ht="15.75" customHeight="1">
      <c r="C126" s="131" t="n"/>
      <c r="D126" s="131" t="n"/>
      <c r="E126" s="134" t="inlineStr">
        <is>
          <t>Cuota variable m3 consumido (€/m3)</t>
        </is>
      </c>
      <c r="F126" s="205" t="n">
        <v>14</v>
      </c>
      <c r="G126" s="206" t="inlineStr">
        <is>
          <t>/m3</t>
        </is>
      </c>
      <c r="H126" s="205" t="n">
        <v>0.6</v>
      </c>
      <c r="I126" s="207" t="inlineStr">
        <is>
          <t>/kWh</t>
        </is>
      </c>
      <c r="J126" s="131" t="n"/>
      <c r="K126" s="131" t="n"/>
    </row>
    <row r="127" ht="15" customHeight="1" thickBot="1">
      <c r="C127" s="133" t="n"/>
      <c r="D127" s="133" t="n"/>
      <c r="E127" s="133" t="n"/>
      <c r="F127" s="133" t="n"/>
      <c r="G127" s="133" t="n"/>
      <c r="H127" s="133" t="n"/>
      <c r="I127" s="133" t="n"/>
      <c r="J127" s="133" t="n"/>
      <c r="K127" s="133" t="n"/>
    </row>
    <row r="128" ht="15" customHeight="1" thickTop="1"/>
    <row r="129" ht="6.95" customHeight="1"/>
  </sheetData>
  <mergeCells count="15">
    <mergeCell ref="F124:G124"/>
    <mergeCell ref="H124:I124"/>
    <mergeCell ref="G15:H15"/>
    <mergeCell ref="G10:H10"/>
    <mergeCell ref="C122:K122"/>
    <mergeCell ref="C49:E49"/>
    <mergeCell ref="C48:E48"/>
    <mergeCell ref="H88:J88"/>
    <mergeCell ref="H75:I75"/>
    <mergeCell ref="G23:H23"/>
    <mergeCell ref="J75:K75"/>
    <mergeCell ref="G9:H9"/>
    <mergeCell ref="J96:K96"/>
    <mergeCell ref="H96:I96"/>
    <mergeCell ref="H109:J109"/>
  </mergeCells>
  <pageMargins left="0.7" right="0.7" top="0.75" bottom="0.75" header="0.3" footer="0.3"/>
  <pageSetup orientation="portrait" paperSize="9" scale="38" fitToHeight="0"/>
  <rowBreaks count="1" manualBreakCount="1">
    <brk id="69" min="0" max="16383" man="1"/>
  </rowBreaks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2:I102"/>
  <sheetViews>
    <sheetView view="pageLayout" topLeftCell="A56" zoomScale="85" zoomScaleNormal="85" zoomScalePageLayoutView="85" workbookViewId="0">
      <selection activeCell="F71" sqref="F71"/>
    </sheetView>
  </sheetViews>
  <sheetFormatPr baseColWidth="10" defaultColWidth="6.85546875" defaultRowHeight="14.25"/>
  <cols>
    <col width="3.28515625" customWidth="1" style="1" min="1" max="1"/>
    <col width="6.85546875" customWidth="1" style="1" min="2" max="2"/>
    <col width="10" customWidth="1" style="1" min="3" max="3"/>
    <col width="8.28515625" customWidth="1" style="1" min="4" max="4"/>
    <col width="13.42578125" customWidth="1" style="1" min="5" max="8"/>
    <col width="3.140625" customWidth="1" style="1" min="9" max="9"/>
    <col width="6.85546875" customWidth="1" style="1" min="10" max="16384"/>
  </cols>
  <sheetData>
    <row r="2" ht="15" customHeight="1">
      <c r="A2" s="240">
        <f>DATOS!A1</f>
        <v/>
      </c>
    </row>
    <row r="3" ht="15" customHeight="1">
      <c r="A3" s="241">
        <f>DATOS!A2</f>
        <v/>
      </c>
    </row>
    <row r="4" ht="15" customHeight="1">
      <c r="A4" s="241" t="inlineStr">
        <is>
          <t>RESULTADO DEL ANALISIS Y DEL REPARTO DE COSTES</t>
        </is>
      </c>
    </row>
    <row r="8" ht="15" customHeight="1">
      <c r="D8" s="160" t="inlineStr">
        <is>
          <t>ACS</t>
        </is>
      </c>
      <c r="E8" s="160" t="inlineStr">
        <is>
          <t>2020-2021</t>
        </is>
      </c>
    </row>
    <row r="9" ht="15" customHeight="1">
      <c r="B9" s="103" t="inlineStr">
        <is>
          <t>Nº de VIVIENDAS:</t>
        </is>
      </c>
      <c r="D9" s="161" t="n"/>
      <c r="E9" s="162">
        <f>DATOS!$D$7</f>
        <v/>
      </c>
    </row>
    <row r="10">
      <c r="B10" s="103" t="inlineStr">
        <is>
          <t>PERIODO ACS:</t>
        </is>
      </c>
      <c r="D10" s="167" t="inlineStr">
        <is>
          <t>días</t>
        </is>
      </c>
      <c r="E10" s="163">
        <f>'LECTURAS ACS M3'!C9</f>
        <v/>
      </c>
    </row>
    <row r="11" ht="16.5" customHeight="1">
      <c r="B11" s="103" t="inlineStr">
        <is>
          <t>m3 CONSUMIDOS:</t>
        </is>
      </c>
      <c r="D11" s="168" t="inlineStr">
        <is>
          <t>m3</t>
        </is>
      </c>
      <c r="E11" s="164">
        <f>'LECTURAS ACS M3'!G16</f>
        <v/>
      </c>
    </row>
    <row r="12">
      <c r="B12" s="103" t="inlineStr">
        <is>
          <t>CUOTA FIJA MES ACS (€/mes):</t>
        </is>
      </c>
      <c r="D12" s="168" t="inlineStr">
        <is>
          <t>€/mes</t>
        </is>
      </c>
      <c r="E12" s="165">
        <f>'LECTURAS ACS M3'!M16</f>
        <v/>
      </c>
    </row>
    <row r="13" ht="16.5" customHeight="1">
      <c r="B13" s="103" t="inlineStr">
        <is>
          <t>PRECIO M3 (€/m3):</t>
        </is>
      </c>
      <c r="D13" s="169" t="inlineStr">
        <is>
          <t>€/m3</t>
        </is>
      </c>
      <c r="E13" s="166">
        <f>'LECTURAS ACS M3'!L16</f>
        <v/>
      </c>
    </row>
    <row r="16">
      <c r="E16" s="29" t="n"/>
    </row>
    <row r="17" ht="15" customHeight="1">
      <c r="B17" s="117" t="inlineStr">
        <is>
          <t>ACS - RELACION DE GASTO</t>
        </is>
      </c>
      <c r="C17" s="118" t="n"/>
      <c r="D17" s="118" t="n"/>
      <c r="E17" s="176" t="inlineStr">
        <is>
          <t>2020-2021</t>
        </is>
      </c>
    </row>
    <row r="18">
      <c r="B18" s="211" t="inlineStr">
        <is>
          <t>COMBUSTIBLE</t>
        </is>
      </c>
      <c r="E18" s="177">
        <f>'ANALISIS PLANTILLA'!G76</f>
        <v/>
      </c>
    </row>
    <row r="19">
      <c r="B19" s="211" t="inlineStr">
        <is>
          <t>ELECTRICIDAD</t>
        </is>
      </c>
      <c r="E19" s="215">
        <f>'ANALISIS PLANTILLA'!G77</f>
        <v/>
      </c>
    </row>
    <row r="20">
      <c r="B20" s="211" t="inlineStr">
        <is>
          <t>MTO. PREVENTIVO</t>
        </is>
      </c>
      <c r="E20" s="177">
        <f>'ANALISIS PLANTILLA'!G78</f>
        <v/>
      </c>
    </row>
    <row r="21">
      <c r="B21" s="211" t="inlineStr">
        <is>
          <t>LECTURA CONTADORES ACS</t>
        </is>
      </c>
      <c r="E21" s="177">
        <f>'ANALISIS PLANTILLA'!G79</f>
        <v/>
      </c>
    </row>
    <row r="22">
      <c r="B22" s="211" t="inlineStr">
        <is>
          <t>CONSUMO AGUA FRIA</t>
        </is>
      </c>
      <c r="E22" s="177">
        <f>'ANALISIS PLANTILLA'!G80</f>
        <v/>
      </c>
    </row>
    <row r="23">
      <c r="B23" s="211" t="inlineStr">
        <is>
          <t>FIJO AGUA FRIA</t>
        </is>
      </c>
      <c r="E23" s="177">
        <f>'ANALISIS PLANTILLA'!G81</f>
        <v/>
      </c>
    </row>
    <row r="24">
      <c r="B24" s="211" t="inlineStr">
        <is>
          <t>MTO. CORRECTIVO (REPARACIONES)</t>
        </is>
      </c>
      <c r="E24" s="177">
        <f>'ANALISIS PLANTILLA'!G82</f>
        <v/>
      </c>
    </row>
    <row r="25" ht="15" customHeight="1">
      <c r="B25" s="178" t="n"/>
      <c r="C25" s="82" t="n"/>
      <c r="D25" s="179" t="inlineStr">
        <is>
          <t>SUMA …............................</t>
        </is>
      </c>
      <c r="E25" s="180">
        <f>SUM(E18:E24)</f>
        <v/>
      </c>
    </row>
    <row r="26" ht="15" customHeight="1">
      <c r="B26" s="117" t="inlineStr">
        <is>
          <t>ACS - REPARTO POR TIPO</t>
        </is>
      </c>
      <c r="C26" s="118" t="n"/>
      <c r="D26" s="118" t="n"/>
      <c r="E26" s="183" t="n"/>
    </row>
    <row r="27">
      <c r="B27" s="52" t="n"/>
      <c r="C27" s="53" t="n"/>
      <c r="D27" s="212" t="inlineStr">
        <is>
          <t>GASTO FIJO ….....</t>
        </is>
      </c>
      <c r="E27" s="181">
        <f>'ANALISIS PLANTILLA'!H83</f>
        <v/>
      </c>
    </row>
    <row r="28">
      <c r="B28" s="87" t="n"/>
      <c r="C28" s="21" t="n"/>
      <c r="D28" s="213" t="inlineStr">
        <is>
          <t>GASTO VARIABLE  ….....</t>
        </is>
      </c>
      <c r="E28" s="182">
        <f>'ANALISIS PLANTILLA'!J83</f>
        <v/>
      </c>
    </row>
    <row r="31" ht="15" customHeight="1">
      <c r="B31" s="117" t="inlineStr">
        <is>
          <t>INGRESOS CUOTAS</t>
        </is>
      </c>
      <c r="C31" s="118" t="n"/>
      <c r="D31" s="118" t="n"/>
      <c r="E31" s="176" t="inlineStr">
        <is>
          <t>2020-2021</t>
        </is>
      </c>
    </row>
    <row r="32">
      <c r="B32" s="211" t="inlineStr">
        <is>
          <t>CUOTA FIJA COBRADO</t>
        </is>
      </c>
      <c r="E32" s="177">
        <f>'ANALISIS PLANTILLA'!H85</f>
        <v/>
      </c>
    </row>
    <row r="33">
      <c r="B33" s="211" t="inlineStr">
        <is>
          <t>CUOTA VARIABLE COBRADO</t>
        </is>
      </c>
      <c r="E33" s="177">
        <f>'ANALISIS PLANTILLA'!J85</f>
        <v/>
      </c>
    </row>
    <row r="34" ht="15" customHeight="1">
      <c r="B34" s="178" t="n"/>
      <c r="C34" s="82" t="n"/>
      <c r="D34" s="179" t="inlineStr">
        <is>
          <t>SUMA …............................</t>
        </is>
      </c>
      <c r="E34" s="180">
        <f>SUM(E32:E33)</f>
        <v/>
      </c>
    </row>
    <row r="35">
      <c r="E35" s="29" t="n"/>
    </row>
    <row r="36">
      <c r="E36" s="29" t="n"/>
    </row>
    <row r="37">
      <c r="E37" s="29" t="n"/>
    </row>
    <row r="38">
      <c r="E38" s="29" t="n"/>
    </row>
    <row r="39" ht="15" customHeight="1">
      <c r="B39" s="51" t="inlineStr">
        <is>
          <t>ACS</t>
        </is>
      </c>
      <c r="E39" s="29" t="n"/>
    </row>
    <row r="40" ht="15" customHeight="1">
      <c r="B40" s="171" t="inlineStr">
        <is>
          <t>DIFERENCIA</t>
        </is>
      </c>
      <c r="C40" s="172" t="n"/>
      <c r="D40" s="172" t="n"/>
      <c r="E40" s="173" t="inlineStr">
        <is>
          <t>2020-2021</t>
        </is>
      </c>
    </row>
    <row r="41">
      <c r="B41" s="209" t="inlineStr">
        <is>
          <t>CUOTA FIJA</t>
        </is>
      </c>
      <c r="E41" s="107">
        <f>E32-E27</f>
        <v/>
      </c>
    </row>
    <row r="42">
      <c r="B42" s="210" t="inlineStr">
        <is>
          <t>CUOTA FIJA (%)</t>
        </is>
      </c>
      <c r="C42" s="104" t="n"/>
      <c r="D42" s="104" t="n"/>
      <c r="E42" s="185">
        <f>E41/E32</f>
        <v/>
      </c>
    </row>
    <row r="43">
      <c r="B43" s="209" t="inlineStr">
        <is>
          <t>CUOTA VARIABLE</t>
        </is>
      </c>
      <c r="E43" s="187">
        <f>E33-E28</f>
        <v/>
      </c>
    </row>
    <row r="44">
      <c r="B44" s="210" t="inlineStr">
        <is>
          <t>CUOTA VARIABLE (%)</t>
        </is>
      </c>
      <c r="C44" s="104" t="n"/>
      <c r="D44" s="104" t="n"/>
      <c r="E44" s="185">
        <f>E43/E33</f>
        <v/>
      </c>
    </row>
    <row r="45" ht="15" customHeight="1">
      <c r="B45" s="189" t="n"/>
      <c r="C45" s="190" t="n"/>
      <c r="D45" s="191" t="inlineStr">
        <is>
          <t>SALDO …............................</t>
        </is>
      </c>
      <c r="E45" s="192">
        <f>SUM(E41:E43)</f>
        <v/>
      </c>
    </row>
    <row r="46" ht="15" customHeight="1">
      <c r="B46" s="184" t="n"/>
      <c r="C46" s="104" t="n"/>
      <c r="D46" s="104" t="n"/>
      <c r="E46" s="193">
        <f>E45/E34</f>
        <v/>
      </c>
    </row>
    <row r="47">
      <c r="E47" s="29" t="n"/>
    </row>
    <row r="48">
      <c r="E48" s="29" t="n"/>
    </row>
    <row r="49">
      <c r="E49" s="29" t="n"/>
    </row>
    <row r="50">
      <c r="E50" s="29" t="n"/>
    </row>
    <row r="60" ht="15" customHeight="1">
      <c r="D60" s="160" t="inlineStr">
        <is>
          <t>CALEF.</t>
        </is>
      </c>
      <c r="E60" s="160" t="inlineStr">
        <is>
          <t>2020-2021</t>
        </is>
      </c>
    </row>
    <row r="61" ht="15" customHeight="1">
      <c r="B61" s="103" t="inlineStr">
        <is>
          <t>Nº de VIVIENDAS:</t>
        </is>
      </c>
      <c r="D61" s="161" t="n"/>
      <c r="E61" s="162">
        <f>DATOS!$D$7</f>
        <v/>
      </c>
    </row>
    <row r="62">
      <c r="B62" s="103" t="inlineStr">
        <is>
          <t>PERIODO CALEF:</t>
        </is>
      </c>
      <c r="D62" s="167" t="inlineStr">
        <is>
          <t>días</t>
        </is>
      </c>
      <c r="E62" s="163">
        <f>'ANALISIS PLANTILLA'!G16</f>
        <v/>
      </c>
    </row>
    <row r="63">
      <c r="B63" s="103" t="inlineStr">
        <is>
          <t>kWh CONSUMIDOS:</t>
        </is>
      </c>
      <c r="D63" s="168" t="inlineStr">
        <is>
          <t>kWh</t>
        </is>
      </c>
      <c r="E63" s="164">
        <f>'ANALISIS PLANTILLA'!G17</f>
        <v/>
      </c>
    </row>
    <row r="64">
      <c r="B64" s="103" t="inlineStr">
        <is>
          <t>CUOTA FIJA MES CALEFACCION (€/mes):</t>
        </is>
      </c>
      <c r="D64" s="168" t="inlineStr">
        <is>
          <t>€/mes</t>
        </is>
      </c>
      <c r="E64" s="165">
        <f>'ANALISIS PLANTILLA'!G18</f>
        <v/>
      </c>
    </row>
    <row r="65">
      <c r="B65" s="103" t="inlineStr">
        <is>
          <t>PRECIO kWh (€/kWh):</t>
        </is>
      </c>
      <c r="D65" s="169" t="inlineStr">
        <is>
          <t>€/kWh</t>
        </is>
      </c>
      <c r="E65" s="166">
        <f>'ANALISIS PLANTILLA'!G19</f>
        <v/>
      </c>
    </row>
    <row r="68">
      <c r="E68" s="29" t="n"/>
    </row>
    <row r="69" ht="15" customHeight="1">
      <c r="B69" s="117" t="inlineStr">
        <is>
          <t>CALEF. - RELACION DE GASTO</t>
        </is>
      </c>
      <c r="C69" s="118" t="n"/>
      <c r="D69" s="118" t="n"/>
      <c r="E69" s="176" t="inlineStr">
        <is>
          <t>2020-2021</t>
        </is>
      </c>
    </row>
    <row r="70">
      <c r="B70" s="211" t="inlineStr">
        <is>
          <t>COMBUSTIBLE</t>
        </is>
      </c>
      <c r="E70" s="177">
        <f>'ANALISIS PLANTILLA'!G97</f>
        <v/>
      </c>
    </row>
    <row r="71">
      <c r="B71" s="211" t="inlineStr">
        <is>
          <t>ELECTRICIDAD</t>
        </is>
      </c>
      <c r="E71" s="215">
        <f>'ANALISIS PLANTILLA'!G98</f>
        <v/>
      </c>
    </row>
    <row r="72">
      <c r="B72" s="211" t="inlineStr">
        <is>
          <t>MTO. PREVENTIVO</t>
        </is>
      </c>
      <c r="E72" s="177">
        <f>'ANALISIS PLANTILLA'!G99</f>
        <v/>
      </c>
    </row>
    <row r="73">
      <c r="B73" s="211" t="inlineStr">
        <is>
          <t>LECTURA CONTADORES ACS</t>
        </is>
      </c>
      <c r="E73" s="177">
        <f>'ANALISIS PLANTILLA'!G100</f>
        <v/>
      </c>
    </row>
    <row r="74">
      <c r="B74" s="211" t="inlineStr">
        <is>
          <t>CONSUMO AGUA FRIA</t>
        </is>
      </c>
      <c r="E74" s="177">
        <f>'ANALISIS PLANTILLA'!G101</f>
        <v/>
      </c>
    </row>
    <row r="75">
      <c r="B75" s="211" t="inlineStr">
        <is>
          <t>FIJO AGUA FRIA</t>
        </is>
      </c>
      <c r="E75" s="177">
        <f>'ANALISIS PLANTILLA'!G102</f>
        <v/>
      </c>
    </row>
    <row r="76">
      <c r="B76" s="211" t="inlineStr">
        <is>
          <t>MTO. CORRECTIVO (REPARACIONES)</t>
        </is>
      </c>
      <c r="E76" s="177">
        <f>'ANALISIS PLANTILLA'!G103</f>
        <v/>
      </c>
    </row>
    <row r="77" ht="15" customHeight="1">
      <c r="B77" s="178" t="n"/>
      <c r="C77" s="82" t="n"/>
      <c r="D77" s="179" t="inlineStr">
        <is>
          <t>SUMA …............................</t>
        </is>
      </c>
      <c r="E77" s="180">
        <f>SUM(E70:E76)</f>
        <v/>
      </c>
    </row>
    <row r="78" ht="15" customHeight="1">
      <c r="B78" s="117" t="inlineStr">
        <is>
          <t>CALEF. - REPARTO POR TIPO</t>
        </is>
      </c>
      <c r="C78" s="118" t="n"/>
      <c r="D78" s="118" t="n"/>
      <c r="E78" s="183" t="n"/>
    </row>
    <row r="79">
      <c r="B79" s="52" t="n"/>
      <c r="C79" s="53" t="n"/>
      <c r="D79" s="212" t="inlineStr">
        <is>
          <t>GASTO FIJO ….....</t>
        </is>
      </c>
      <c r="E79" s="181">
        <f>'ANALISIS PLANTILLA'!H104</f>
        <v/>
      </c>
    </row>
    <row r="80">
      <c r="B80" s="87" t="n"/>
      <c r="C80" s="21" t="n"/>
      <c r="D80" s="213" t="inlineStr">
        <is>
          <t>GASTO VARIABLE  ….....</t>
        </is>
      </c>
      <c r="E80" s="182">
        <f>'ANALISIS PLANTILLA'!J104</f>
        <v/>
      </c>
    </row>
    <row r="83" ht="15" customHeight="1">
      <c r="B83" s="117" t="inlineStr">
        <is>
          <t>INGRESOS CUOTAS</t>
        </is>
      </c>
      <c r="C83" s="118" t="n"/>
      <c r="D83" s="118" t="n"/>
      <c r="E83" s="176" t="inlineStr">
        <is>
          <t>2020-2021</t>
        </is>
      </c>
    </row>
    <row r="84">
      <c r="B84" s="211" t="inlineStr">
        <is>
          <t>CUOTA FIJA COBRADO</t>
        </is>
      </c>
      <c r="E84" s="177">
        <f>'ANALISIS PLANTILLA'!H106</f>
        <v/>
      </c>
    </row>
    <row r="85">
      <c r="B85" s="211" t="inlineStr">
        <is>
          <t>CUOTA VARIABLE COBRADO</t>
        </is>
      </c>
      <c r="E85" s="177">
        <f>'ANALISIS PLANTILLA'!J106</f>
        <v/>
      </c>
    </row>
    <row r="86" ht="15" customHeight="1">
      <c r="B86" s="178" t="n"/>
      <c r="C86" s="82" t="n"/>
      <c r="D86" s="179" t="inlineStr">
        <is>
          <t>SUMA …............................</t>
        </is>
      </c>
      <c r="E86" s="180">
        <f>SUM(E84:E85)</f>
        <v/>
      </c>
    </row>
    <row r="87">
      <c r="E87" s="29" t="n"/>
    </row>
    <row r="88">
      <c r="E88" s="29" t="n"/>
    </row>
    <row r="89">
      <c r="E89" s="29" t="n"/>
    </row>
    <row r="90">
      <c r="E90" s="29" t="n"/>
    </row>
    <row r="91" ht="15" customHeight="1">
      <c r="B91" s="51" t="inlineStr">
        <is>
          <t>CALEFACCION</t>
        </is>
      </c>
      <c r="E91" s="29" t="n"/>
    </row>
    <row r="92" ht="15" customHeight="1">
      <c r="B92" s="171" t="inlineStr">
        <is>
          <t>DIFERENCIA</t>
        </is>
      </c>
      <c r="C92" s="172" t="n"/>
      <c r="D92" s="172" t="n"/>
      <c r="E92" s="173" t="inlineStr">
        <is>
          <t>2020-2021</t>
        </is>
      </c>
    </row>
    <row r="93">
      <c r="B93" s="209" t="inlineStr">
        <is>
          <t>CUOTA FIJA</t>
        </is>
      </c>
      <c r="E93" s="107">
        <f>E84-E79</f>
        <v/>
      </c>
    </row>
    <row r="94">
      <c r="B94" s="210" t="inlineStr">
        <is>
          <t>CUOTA FIJA (%)</t>
        </is>
      </c>
      <c r="C94" s="104" t="n"/>
      <c r="D94" s="104" t="n"/>
      <c r="E94" s="185">
        <f>E93/E84</f>
        <v/>
      </c>
    </row>
    <row r="95">
      <c r="B95" s="209" t="inlineStr">
        <is>
          <t>CUOTA VARIABLE</t>
        </is>
      </c>
      <c r="E95" s="187">
        <f>E85-E80</f>
        <v/>
      </c>
    </row>
    <row r="96">
      <c r="B96" s="210" t="inlineStr">
        <is>
          <t>CUOTA VARIABLE (%)</t>
        </is>
      </c>
      <c r="C96" s="104" t="n"/>
      <c r="D96" s="104" t="n"/>
      <c r="E96" s="185">
        <f>E95/E85</f>
        <v/>
      </c>
    </row>
    <row r="97" ht="15" customHeight="1">
      <c r="B97" s="189" t="n"/>
      <c r="C97" s="190" t="n"/>
      <c r="D97" s="191" t="inlineStr">
        <is>
          <t>SALDO …............................</t>
        </is>
      </c>
      <c r="E97" s="192">
        <f>SUM(E93:E95)</f>
        <v/>
      </c>
    </row>
    <row r="98" ht="15" customHeight="1">
      <c r="B98" s="184" t="n"/>
      <c r="C98" s="104" t="n"/>
      <c r="D98" s="104" t="n"/>
      <c r="E98" s="193">
        <f>E97/E86</f>
        <v/>
      </c>
    </row>
    <row r="99">
      <c r="E99" s="29" t="n"/>
    </row>
    <row r="100">
      <c r="E100" s="29" t="n"/>
    </row>
    <row r="101">
      <c r="E101" s="29" t="n"/>
    </row>
    <row r="102">
      <c r="E102" s="29" t="n"/>
    </row>
  </sheetData>
  <mergeCells count="3">
    <mergeCell ref="A4:I4"/>
    <mergeCell ref="A2:I2"/>
    <mergeCell ref="A3:I3"/>
  </mergeCells>
  <pageMargins left="0.7" right="0.7" top="0.75" bottom="0.75" header="0.3" footer="0.3"/>
  <pageSetup orientation="portrait" paperSize="9" fitToHeight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DC2B24361F00C4E9524DE276873A487" ma:contentTypeVersion="12" ma:contentTypeDescription="Crear nuevo documento." ma:contentTypeScope="" ma:versionID="49fdb6919aec03da226e76d0ecee813a">
  <xsd:schema xmlns:xsd="http://www.w3.org/2001/XMLSchema" xmlns:xs="http://www.w3.org/2001/XMLSchema" xmlns:p="http://schemas.microsoft.com/office/2006/metadata/properties" xmlns:ns2="024a21e9-64f7-4395-8d4b-3c44bd84f992" xmlns:ns3="4edc882b-f366-4beb-b3ea-b489aee5412b" targetNamespace="http://schemas.microsoft.com/office/2006/metadata/properties" ma:root="true" ma:fieldsID="fe60f3784f357cc6113c285c6db1e504" ns2:_="" ns3:_="">
    <xsd:import namespace="024a21e9-64f7-4395-8d4b-3c44bd84f992"/>
    <xsd:import namespace="4edc882b-f366-4beb-b3ea-b489aee5412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4a21e9-64f7-4395-8d4b-3c44bd84f99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04b46823-8436-4924-9ffa-42beff380ea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dc882b-f366-4beb-b3ea-b489aee5412b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d17a2191-d135-4c41-a0c3-0dc6a22045c4}" ma:internalName="TaxCatchAll" ma:showField="CatchAllData" ma:web="4edc882b-f366-4beb-b3ea-b489aee5412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24a21e9-64f7-4395-8d4b-3c44bd84f992">
      <Terms xmlns="http://schemas.microsoft.com/office/infopath/2007/PartnerControls"/>
    </lcf76f155ced4ddcb4097134ff3c332f>
    <TaxCatchAll xmlns="4edc882b-f366-4beb-b3ea-b489aee5412b" xsi:nil="true"/>
  </documentManagement>
</p:properties>
</file>

<file path=customXml/itemProps1.xml><?xml version="1.0" encoding="utf-8"?>
<ds:datastoreItem xmlns:ds="http://schemas.openxmlformats.org/officeDocument/2006/customXml" ds:itemID="{25BFC64A-1714-47B1-BFF6-A733B4EC99FA}"/>
</file>

<file path=customXml/itemProps2.xml><?xml version="1.0" encoding="utf-8"?>
<ds:datastoreItem xmlns:ds="http://schemas.openxmlformats.org/officeDocument/2006/customXml" ds:itemID="{9230A707-371D-47BA-AD0B-12C0398A2119}"/>
</file>

<file path=customXml/itemProps3.xml><?xml version="1.0" encoding="utf-8"?>
<ds:datastoreItem xmlns:ds="http://schemas.openxmlformats.org/officeDocument/2006/customXml" ds:itemID="{78AA1EAD-D483-414E-A883-2766BFFF943B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Jesús Fernández García</dc:creator>
  <cp:lastModifiedBy>Fernando Piazuelo</cp:lastModifiedBy>
  <cp:lastPrinted>2026-05-19T16:17:05Z</cp:lastPrinted>
  <dcterms:created xsi:type="dcterms:W3CDTF">2015-06-05T18:19:34Z</dcterms:created>
  <dcterms:modified xsi:type="dcterms:W3CDTF">2026-08-05T07:38:28Z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0x010100EDC2B24361F00C4E9524DE276873A487</vt:lpwstr>
  </property>
</Properties>
</file>